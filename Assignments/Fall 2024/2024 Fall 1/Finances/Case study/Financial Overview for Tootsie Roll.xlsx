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Webster University\Assignments\Finances\Case study\"/>
    </mc:Choice>
  </mc:AlternateContent>
  <xr:revisionPtr revIDLastSave="0" documentId="13_ncr:1_{9DD1F2F7-6D68-47CF-826C-E27B3B5FE7B9}" xr6:coauthVersionLast="47" xr6:coauthVersionMax="47" xr10:uidLastSave="{00000000-0000-0000-0000-000000000000}"/>
  <bookViews>
    <workbookView xWindow="-105" yWindow="0" windowWidth="10455" windowHeight="10905" xr2:uid="{00000000-000D-0000-FFFF-FFFF00000000}"/>
  </bookViews>
  <sheets>
    <sheet name="FS, TR (2)" sheetId="5" r:id="rId1"/>
    <sheet name="Sheet5" sheetId="9" r:id="rId2"/>
    <sheet name="Sheet1" sheetId="1" r:id="rId3"/>
    <sheet name="Sheet2" sheetId="6" r:id="rId4"/>
    <sheet name="Sheet3" sheetId="7" r:id="rId5"/>
    <sheet name="Sheet4" sheetId="8" r:id="rId6"/>
  </sheets>
  <externalReferences>
    <externalReference r:id="rId7"/>
  </externalReferences>
  <definedNames>
    <definedName name="_xlnm.Print_Area" localSheetId="2">Sheet1!$A$1:$N$122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5" i="5" l="1"/>
  <c r="E66" i="5"/>
  <c r="E67" i="5"/>
  <c r="D66" i="5"/>
  <c r="D67" i="5"/>
  <c r="B15" i="5"/>
  <c r="B13" i="5"/>
  <c r="B8" i="5"/>
  <c r="C171" i="5"/>
  <c r="D171" i="5" s="1"/>
  <c r="C133" i="5"/>
  <c r="D132" i="5" s="1"/>
  <c r="C99" i="5"/>
  <c r="D97" i="5" s="1"/>
  <c r="C105" i="5"/>
  <c r="D65" i="5"/>
  <c r="E65" i="5"/>
  <c r="E69" i="5" s="1"/>
  <c r="D7" i="6"/>
  <c r="E7" i="6"/>
  <c r="E11" i="6" s="1"/>
  <c r="D8" i="6"/>
  <c r="E8" i="6"/>
  <c r="D9" i="6"/>
  <c r="E9" i="6"/>
  <c r="D11" i="6"/>
  <c r="E35" i="6"/>
  <c r="E36" i="6"/>
  <c r="E37" i="6"/>
  <c r="E38" i="6"/>
  <c r="D39" i="6"/>
  <c r="E39" i="6"/>
  <c r="D43" i="6"/>
  <c r="D45" i="6"/>
  <c r="D70" i="6"/>
  <c r="D72" i="6"/>
  <c r="C74" i="6"/>
  <c r="D71" i="6" s="1"/>
  <c r="D74" i="6"/>
  <c r="D93" i="6"/>
  <c r="D94" i="6"/>
  <c r="C98" i="6"/>
  <c r="D95" i="6" s="1"/>
  <c r="D98" i="6"/>
  <c r="B101" i="6"/>
  <c r="E40" i="1"/>
  <c r="C49" i="5"/>
  <c r="C50" i="5" s="1"/>
  <c r="B49" i="5"/>
  <c r="B50" i="5" s="1"/>
  <c r="C42" i="5"/>
  <c r="B42" i="5"/>
  <c r="C39" i="5"/>
  <c r="C40" i="5" s="1"/>
  <c r="C43" i="5" s="1"/>
  <c r="C51" i="5" s="1"/>
  <c r="B39" i="5"/>
  <c r="B40" i="5" s="1"/>
  <c r="B43" i="5" s="1"/>
  <c r="B51" i="5" s="1"/>
  <c r="C33" i="5"/>
  <c r="B33" i="5"/>
  <c r="C30" i="5"/>
  <c r="B30" i="5"/>
  <c r="C24" i="5"/>
  <c r="B24" i="5"/>
  <c r="C21" i="5"/>
  <c r="C26" i="5" s="1"/>
  <c r="C34" i="5" s="1"/>
  <c r="B21" i="5"/>
  <c r="C18" i="5"/>
  <c r="B18" i="5"/>
  <c r="C15" i="5"/>
  <c r="C13" i="5"/>
  <c r="C8" i="5"/>
  <c r="D102" i="1"/>
  <c r="E102" i="1" s="1"/>
  <c r="D73" i="1"/>
  <c r="E69" i="1" s="1"/>
  <c r="D50" i="1" s="1"/>
  <c r="D72" i="1"/>
  <c r="D49" i="1"/>
  <c r="D48" i="1"/>
  <c r="D44" i="1"/>
  <c r="E43" i="1" s="1"/>
  <c r="D96" i="5" l="1"/>
  <c r="D98" i="5"/>
  <c r="D166" i="5"/>
  <c r="D168" i="5"/>
  <c r="D167" i="5"/>
  <c r="D169" i="5"/>
  <c r="D170" i="5"/>
  <c r="D129" i="5"/>
  <c r="D130" i="5"/>
  <c r="D131" i="5"/>
  <c r="D133" i="5"/>
  <c r="D69" i="5"/>
  <c r="D73" i="6"/>
  <c r="D97" i="6"/>
  <c r="D96" i="6"/>
  <c r="B26" i="5"/>
  <c r="B34" i="5" s="1"/>
  <c r="E97" i="1"/>
  <c r="E100" i="1"/>
  <c r="E72" i="1"/>
  <c r="E101" i="1"/>
  <c r="E70" i="1"/>
  <c r="E41" i="1"/>
  <c r="E73" i="1"/>
  <c r="E44" i="1"/>
  <c r="E71" i="1"/>
  <c r="E42" i="1"/>
  <c r="E98" i="1"/>
  <c r="E99" i="1"/>
  <c r="E19" i="1"/>
  <c r="D19" i="1" s="1"/>
  <c r="E17" i="1"/>
  <c r="D17" i="1"/>
  <c r="E16" i="1"/>
  <c r="D16" i="1"/>
  <c r="E15" i="1"/>
  <c r="D15" i="1"/>
  <c r="D99" i="5" l="1"/>
</calcChain>
</file>

<file path=xl/sharedStrings.xml><?xml version="1.0" encoding="utf-8"?>
<sst xmlns="http://schemas.openxmlformats.org/spreadsheetml/2006/main" count="265" uniqueCount="132">
  <si>
    <t>Year</t>
  </si>
  <si>
    <t>Sales</t>
  </si>
  <si>
    <t>Avg:</t>
  </si>
  <si>
    <t>Net Income</t>
  </si>
  <si>
    <t>Net Income Growth</t>
  </si>
  <si>
    <t>Sales Growth</t>
  </si>
  <si>
    <t>Total</t>
  </si>
  <si>
    <t>Cost of Goods Sold</t>
  </si>
  <si>
    <t>Interest Expense</t>
  </si>
  <si>
    <t>Income Tax</t>
  </si>
  <si>
    <t>Accounts Receivable</t>
  </si>
  <si>
    <t>Inventory</t>
  </si>
  <si>
    <t>Long-Term Debt</t>
  </si>
  <si>
    <t>Owner's Equity</t>
  </si>
  <si>
    <t>Accounts Payable</t>
  </si>
  <si>
    <t>Short-Term Debt</t>
  </si>
  <si>
    <t>Other Current Liabilities</t>
  </si>
  <si>
    <t>S, G &amp; A Expenses</t>
  </si>
  <si>
    <t>Cash</t>
  </si>
  <si>
    <t>Net Plant, and Equipment</t>
  </si>
  <si>
    <t>Week 3</t>
  </si>
  <si>
    <t>income tax</t>
  </si>
  <si>
    <t>before-tax income</t>
  </si>
  <si>
    <t>rate</t>
  </si>
  <si>
    <t>Tax rate:</t>
  </si>
  <si>
    <t>Treasury stock and other</t>
  </si>
  <si>
    <t>Retained earnings</t>
  </si>
  <si>
    <t>Capital in excess of par</t>
  </si>
  <si>
    <t>Common stock</t>
  </si>
  <si>
    <t>Other liabilities</t>
  </si>
  <si>
    <t>Deferred taxes</t>
  </si>
  <si>
    <t>Current liabilities</t>
  </si>
  <si>
    <t>Accrued Liabilities</t>
  </si>
  <si>
    <t>Dividends payable</t>
  </si>
  <si>
    <t>Accounts payable</t>
  </si>
  <si>
    <t>LIABILITIES AND EQUITIES</t>
  </si>
  <si>
    <t>Other Assets</t>
  </si>
  <si>
    <t>Trademarks</t>
  </si>
  <si>
    <t>Goodwill</t>
  </si>
  <si>
    <t>Net Prop &amp; Equip</t>
  </si>
  <si>
    <t>Less Accum Depreciation</t>
  </si>
  <si>
    <t>Gross Prop &amp; Equip</t>
  </si>
  <si>
    <t>Current assets</t>
  </si>
  <si>
    <t>Deferred Taxes</t>
  </si>
  <si>
    <t>Accounts receivable</t>
  </si>
  <si>
    <t>Cash &amp; investments</t>
  </si>
  <si>
    <t xml:space="preserve">ASSETS </t>
  </si>
  <si>
    <t>BALANCE SHEET, as of Dec 31</t>
  </si>
  <si>
    <t>Net income</t>
  </si>
  <si>
    <t>Taxes</t>
  </si>
  <si>
    <t>Before-tax earnings</t>
  </si>
  <si>
    <t>EBIT</t>
  </si>
  <si>
    <t>SG &amp; A expenses</t>
  </si>
  <si>
    <t>Gross profit</t>
  </si>
  <si>
    <t>COGS &amp; Royalty cost</t>
  </si>
  <si>
    <t>Total revenue</t>
  </si>
  <si>
    <t>INCOME STATEMENT</t>
  </si>
  <si>
    <t>Financial Statements, Tootsie Roll ($000s)</t>
  </si>
  <si>
    <t>Total Liabilities &amp; Equity</t>
  </si>
  <si>
    <t>Total Equity</t>
  </si>
  <si>
    <t>Total Liabilities</t>
  </si>
  <si>
    <t>Total Assets</t>
  </si>
  <si>
    <t>Non Recurring</t>
  </si>
  <si>
    <t>Class B Common Stock</t>
  </si>
  <si>
    <t>Other Current Assets</t>
  </si>
  <si>
    <t xml:space="preserve">BUSN 5200 </t>
  </si>
  <si>
    <t xml:space="preserve"> </t>
  </si>
  <si>
    <t>I</t>
  </si>
  <si>
    <t>Short Term Debt</t>
  </si>
  <si>
    <t>Total liabilities - Long term debt</t>
  </si>
  <si>
    <t>Fiscal year is January-December. All values USD Thousands.</t>
  </si>
  <si>
    <t>Sales/Revenue</t>
  </si>
  <si>
    <t>Cost of Goods Sold (COGS) incl. D&amp;A</t>
  </si>
  <si>
    <t>COGS excluding D&amp;A</t>
  </si>
  <si>
    <t>Depreciation &amp; Amortization Expense</t>
  </si>
  <si>
    <t>Depreciation</t>
  </si>
  <si>
    <t>COGS Growth</t>
  </si>
  <si>
    <t>-</t>
  </si>
  <si>
    <t>Gross Income</t>
  </si>
  <si>
    <t>Gross Income Growth</t>
  </si>
  <si>
    <t>Gross Profit Margin</t>
  </si>
  <si>
    <t>SG&amp;A Expense</t>
  </si>
  <si>
    <t>Other SG&amp;A</t>
  </si>
  <si>
    <t>SGA Growth</t>
  </si>
  <si>
    <t>Unusual Expense</t>
  </si>
  <si>
    <t>Non Operating Income/Expense</t>
  </si>
  <si>
    <t>Non-Operating Interest Income</t>
  </si>
  <si>
    <t>Interest Expense Growth</t>
  </si>
  <si>
    <t>Gross Interest Expense</t>
  </si>
  <si>
    <t>Pretax Income</t>
  </si>
  <si>
    <t>Pretax Income Growth</t>
  </si>
  <si>
    <t>Pretax Margin</t>
  </si>
  <si>
    <t>Income Tax - Current Domestic</t>
  </si>
  <si>
    <t>Income Tax - Current Foreign</t>
  </si>
  <si>
    <t>Income Tax - Deferred Domestic</t>
  </si>
  <si>
    <t>Income Tax - Deferred Foreign</t>
  </si>
  <si>
    <t>Consolidated Net Income</t>
  </si>
  <si>
    <t>Minority Interest Expense</t>
  </si>
  <si>
    <t>Net Margin</t>
  </si>
  <si>
    <t>Net Income After Extraordinaries</t>
  </si>
  <si>
    <t>Net Income Available to Common</t>
  </si>
  <si>
    <t>EPS (Basic)</t>
  </si>
  <si>
    <t>EPS (Basic) Growth</t>
  </si>
  <si>
    <t>Basic Shares Outstanding</t>
  </si>
  <si>
    <t>EPS (Diluted)</t>
  </si>
  <si>
    <t>EPS (Diluted) Growth</t>
  </si>
  <si>
    <t>Diluted Shares Outstanding</t>
  </si>
  <si>
    <t>EBITDA</t>
  </si>
  <si>
    <t>EBITDA Growth</t>
  </si>
  <si>
    <t>EBITDA Margin</t>
  </si>
  <si>
    <t>Cost of Goods Sold &amp; Royalty Cost</t>
  </si>
  <si>
    <t>SG &amp; A Expenses</t>
  </si>
  <si>
    <t>Total Revenue</t>
  </si>
  <si>
    <t>Other Income/(Expense)</t>
  </si>
  <si>
    <t>Before-tax earnings$98,141</t>
  </si>
  <si>
    <t>Minority Interest</t>
  </si>
  <si>
    <t>Cash &amp; Cash Equivalents</t>
  </si>
  <si>
    <t>Investments</t>
  </si>
  <si>
    <t>Other Receivables</t>
  </si>
  <si>
    <t>Income Taxes Receivable</t>
  </si>
  <si>
    <t>Prepaid Expenses</t>
  </si>
  <si>
    <t>Deferred Income Taxes</t>
  </si>
  <si>
    <t>Investments (long term)</t>
  </si>
  <si>
    <t>Bank Loans (short term)</t>
  </si>
  <si>
    <t>Other current  liabilities</t>
  </si>
  <si>
    <t>Bank Loans</t>
  </si>
  <si>
    <t xml:space="preserve">Accumulated Other Comprehensive </t>
  </si>
  <si>
    <t>Loss*</t>
  </si>
  <si>
    <t>Treasury Stock</t>
  </si>
  <si>
    <t>Non-Controllling Interests</t>
  </si>
  <si>
    <t>*Represents income/loss that is not reported in the income statement.</t>
  </si>
  <si>
    <t>Net Income  Attributable to Tootsie Roll Industries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</si>
</sst>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7" formatCode="&quot;$&quot;#,##0.00_);\(&quot;$&quot;#,##0.00\)"/>
    <numFmt numFmtId="164" formatCode="0.0%"/>
  </numFmts>
  <fonts count="10">
    <font>
      <sz val="10"/>
      <name val="Arial"/>
    </font>
    <font>
      <sz val="10"/>
      <name val="Arial"/>
      <family val="2"/>
    </font>
    <font>
      <sz val="8"/>
      <name val="Arial"/>
      <family val="2"/>
    </font>
    <font>
      <b/>
      <sz val="12"/>
      <name val="Arial MT"/>
    </font>
    <font>
      <b/>
      <sz val="10"/>
      <name val="Arial"/>
      <family val="2"/>
    </font>
    <font>
      <sz val="10"/>
      <color indexed="8"/>
      <name val="Arial"/>
      <family val="2"/>
    </font>
    <font>
      <u/>
      <sz val="10"/>
      <name val="Arial"/>
      <family val="2"/>
    </font>
    <font>
      <b/>
      <u/>
      <sz val="10"/>
      <name val="Arial"/>
      <family val="2"/>
    </font>
    <font>
      <u val="double"/>
      <sz val="10"/>
      <name val="Arial"/>
      <family val="2"/>
    </font>
    <font>
      <u/>
      <sz val="10"/>
      <color rgb="FFFF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1" fillId="0" borderId="0"/>
  </cellStyleXfs>
  <cellXfs count="48">
    <xf numFmtId="0" fontId="0" fillId="0" borderId="0" xfId="0"/>
    <xf numFmtId="0" fontId="0" fillId="0" borderId="0" xfId="0" quotePrefix="1" applyAlignment="1">
      <alignment horizontal="right"/>
    </xf>
    <xf numFmtId="0" fontId="0" fillId="0" borderId="0" xfId="0" quotePrefix="1" applyAlignment="1">
      <alignment horizontal="left"/>
    </xf>
    <xf numFmtId="5" fontId="0" fillId="0" borderId="0" xfId="0" applyNumberFormat="1"/>
    <xf numFmtId="164" fontId="0" fillId="0" borderId="0" xfId="1" applyNumberFormat="1" applyFont="1"/>
    <xf numFmtId="9" fontId="0" fillId="0" borderId="0" xfId="0" applyNumberFormat="1"/>
    <xf numFmtId="5" fontId="0" fillId="0" borderId="1" xfId="0" applyNumberFormat="1" applyBorder="1"/>
    <xf numFmtId="9" fontId="0" fillId="0" borderId="0" xfId="1" applyFont="1" applyAlignment="1">
      <alignment horizontal="center"/>
    </xf>
    <xf numFmtId="9" fontId="0" fillId="0" borderId="1" xfId="1" applyFont="1" applyBorder="1" applyAlignment="1">
      <alignment horizontal="center"/>
    </xf>
    <xf numFmtId="0" fontId="0" fillId="0" borderId="0" xfId="0" applyAlignment="1">
      <alignment horizontal="left"/>
    </xf>
    <xf numFmtId="0" fontId="4" fillId="0" borderId="0" xfId="0" applyFont="1"/>
    <xf numFmtId="0" fontId="4" fillId="0" borderId="0" xfId="0" quotePrefix="1" applyFont="1" applyAlignment="1">
      <alignment horizontal="left"/>
    </xf>
    <xf numFmtId="9" fontId="0" fillId="0" borderId="0" xfId="1" applyFont="1"/>
    <xf numFmtId="0" fontId="1" fillId="0" borderId="0" xfId="2"/>
    <xf numFmtId="0" fontId="5" fillId="0" borderId="0" xfId="2" applyFont="1"/>
    <xf numFmtId="7" fontId="1" fillId="0" borderId="0" xfId="2" applyNumberFormat="1"/>
    <xf numFmtId="0" fontId="1" fillId="0" borderId="0" xfId="2" quotePrefix="1" applyAlignment="1">
      <alignment horizontal="left"/>
    </xf>
    <xf numFmtId="15" fontId="1" fillId="0" borderId="0" xfId="2" quotePrefix="1" applyNumberFormat="1" applyAlignment="1">
      <alignment horizontal="left"/>
    </xf>
    <xf numFmtId="0" fontId="4" fillId="0" borderId="0" xfId="2" applyFont="1"/>
    <xf numFmtId="0" fontId="7" fillId="0" borderId="0" xfId="2" quotePrefix="1" applyFont="1" applyAlignment="1">
      <alignment horizontal="left"/>
    </xf>
    <xf numFmtId="37" fontId="1" fillId="0" borderId="0" xfId="2" applyNumberFormat="1"/>
    <xf numFmtId="5" fontId="8" fillId="0" borderId="0" xfId="2" applyNumberFormat="1" applyFont="1"/>
    <xf numFmtId="0" fontId="4" fillId="0" borderId="0" xfId="2" quotePrefix="1" applyFont="1" applyAlignment="1">
      <alignment horizontal="left"/>
    </xf>
    <xf numFmtId="5" fontId="6" fillId="0" borderId="0" xfId="2" applyNumberFormat="1" applyFont="1"/>
    <xf numFmtId="0" fontId="1" fillId="0" borderId="0" xfId="2" applyAlignment="1">
      <alignment horizontal="left"/>
    </xf>
    <xf numFmtId="5" fontId="1" fillId="0" borderId="0" xfId="2" applyNumberFormat="1"/>
    <xf numFmtId="37" fontId="6" fillId="0" borderId="0" xfId="2" applyNumberFormat="1" applyFont="1"/>
    <xf numFmtId="37" fontId="9" fillId="0" borderId="0" xfId="2" applyNumberFormat="1" applyFont="1"/>
    <xf numFmtId="0" fontId="4" fillId="0" borderId="0" xfId="2" quotePrefix="1" applyFont="1" applyAlignment="1">
      <alignment horizontal="right"/>
    </xf>
    <xf numFmtId="5" fontId="8" fillId="0" borderId="0" xfId="2" applyNumberFormat="1" applyFont="1" applyAlignment="1">
      <alignment horizontal="right"/>
    </xf>
    <xf numFmtId="37" fontId="6" fillId="0" borderId="0" xfId="2" applyNumberFormat="1" applyFont="1" applyAlignment="1">
      <alignment horizontal="right"/>
    </xf>
    <xf numFmtId="5" fontId="1" fillId="0" borderId="0" xfId="2" applyNumberFormat="1" applyAlignment="1">
      <alignment horizontal="right"/>
    </xf>
    <xf numFmtId="5" fontId="6" fillId="0" borderId="0" xfId="2" applyNumberFormat="1" applyFont="1" applyAlignment="1">
      <alignment horizontal="right"/>
    </xf>
    <xf numFmtId="0" fontId="4" fillId="0" borderId="0" xfId="2" quotePrefix="1" applyFont="1" applyAlignment="1">
      <alignment horizontal="center"/>
    </xf>
    <xf numFmtId="5" fontId="1" fillId="0" borderId="2" xfId="2" applyNumberFormat="1" applyBorder="1"/>
    <xf numFmtId="0" fontId="4" fillId="0" borderId="0" xfId="0" quotePrefix="1" applyFont="1" applyAlignment="1">
      <alignment horizontal="right"/>
    </xf>
    <xf numFmtId="5" fontId="4" fillId="0" borderId="0" xfId="0" applyNumberFormat="1" applyFont="1"/>
    <xf numFmtId="0" fontId="0" fillId="0" borderId="0" xfId="0" quotePrefix="1" applyAlignment="1">
      <alignment horizontal="center"/>
    </xf>
    <xf numFmtId="0" fontId="0" fillId="0" borderId="0" xfId="0" applyAlignment="1">
      <alignment horizontal="center"/>
    </xf>
    <xf numFmtId="5" fontId="0" fillId="0" borderId="0" xfId="0" applyNumberFormat="1" applyAlignment="1">
      <alignment horizontal="center"/>
    </xf>
    <xf numFmtId="6" fontId="0" fillId="0" borderId="0" xfId="0" applyNumberFormat="1"/>
    <xf numFmtId="3" fontId="0" fillId="0" borderId="0" xfId="0" applyNumberFormat="1"/>
    <xf numFmtId="10" fontId="0" fillId="0" borderId="0" xfId="1" applyNumberFormat="1" applyFont="1" applyAlignment="1">
      <alignment horizontal="center"/>
    </xf>
    <xf numFmtId="4" fontId="0" fillId="0" borderId="0" xfId="0" applyNumberFormat="1"/>
    <xf numFmtId="10" fontId="0" fillId="0" borderId="0" xfId="0" applyNumberFormat="1"/>
    <xf numFmtId="0" fontId="3" fillId="0" borderId="0" xfId="2" quotePrefix="1" applyFont="1" applyAlignment="1">
      <alignment horizontal="center"/>
    </xf>
    <xf numFmtId="0" fontId="3" fillId="0" borderId="0" xfId="0" quotePrefix="1" applyFont="1" applyAlignment="1">
      <alignment horizontal="center"/>
    </xf>
    <xf numFmtId="0" fontId="1" fillId="0" borderId="0" xfId="0" applyFont="1"/>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Tootsie Roll</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Sales and Income Record</a:t>
            </a:r>
          </a:p>
        </c:rich>
      </c:tx>
      <c:layout>
        <c:manualLayout>
          <c:xMode val="edge"/>
          <c:yMode val="edge"/>
          <c:x val="0.35311168222549111"/>
          <c:y val="3.6036085573606297E-2"/>
        </c:manualLayout>
      </c:layout>
      <c:overlay val="0"/>
      <c:spPr>
        <a:noFill/>
        <a:ln w="25400">
          <a:noFill/>
        </a:ln>
      </c:spPr>
    </c:title>
    <c:autoTitleDeleted val="0"/>
    <c:plotArea>
      <c:layout>
        <c:manualLayout>
          <c:layoutTarget val="inner"/>
          <c:xMode val="edge"/>
          <c:yMode val="edge"/>
          <c:x val="0.15774251378105941"/>
          <c:y val="0.24324357762184159"/>
          <c:w val="0.79160692695632406"/>
          <c:h val="0.5698206031326476"/>
        </c:manualLayout>
      </c:layout>
      <c:scatterChart>
        <c:scatterStyle val="lineMarker"/>
        <c:varyColors val="0"/>
        <c:ser>
          <c:idx val="0"/>
          <c:order val="0"/>
          <c:tx>
            <c:strRef>
              <c:f>'FS, TR (2)'!$B$62</c:f>
              <c:strCache>
                <c:ptCount val="1"/>
                <c:pt idx="0">
                  <c:v>Sales</c:v>
                </c:pt>
              </c:strCache>
            </c:strRef>
          </c:tx>
          <c:spPr>
            <a:ln w="25400">
              <a:solidFill>
                <a:srgbClr val="FF0000"/>
              </a:solidFill>
              <a:prstDash val="solid"/>
            </a:ln>
          </c:spPr>
          <c:marker>
            <c:symbol val="diamond"/>
            <c:size val="7"/>
            <c:spPr>
              <a:solidFill>
                <a:srgbClr val="000080"/>
              </a:solidFill>
              <a:ln>
                <a:solidFill>
                  <a:srgbClr val="000080"/>
                </a:solidFill>
                <a:prstDash val="solid"/>
              </a:ln>
            </c:spPr>
          </c:marker>
          <c:dLbls>
            <c:spPr>
              <a:noFill/>
              <a:ln w="25400">
                <a:noFill/>
              </a:ln>
            </c:spPr>
            <c:txPr>
              <a:bodyPr/>
              <a:lstStyle/>
              <a:p>
                <a:pPr>
                  <a:defRPr sz="9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'FS, TR (2)'!$A$64:$A$67</c:f>
              <c:numCache>
                <c:formatCode>General</c:formatCode>
                <c:ptCount val="4"/>
                <c:pt idx="0">
                  <c:v>2020</c:v>
                </c:pt>
                <c:pt idx="1">
                  <c:v>2021</c:v>
                </c:pt>
                <c:pt idx="2">
                  <c:v>2022</c:v>
                </c:pt>
                <c:pt idx="3">
                  <c:v>2023</c:v>
                </c:pt>
              </c:numCache>
            </c:numRef>
          </c:xVal>
          <c:yVal>
            <c:numRef>
              <c:f>'FS, TR (2)'!$B$64:$B$67</c:f>
              <c:numCache>
                <c:formatCode>"$"#,##0_);\("$"#,##0\)</c:formatCode>
                <c:ptCount val="4"/>
                <c:pt idx="0">
                  <c:v>471063</c:v>
                </c:pt>
                <c:pt idx="1">
                  <c:v>570776</c:v>
                </c:pt>
                <c:pt idx="2">
                  <c:v>686970</c:v>
                </c:pt>
                <c:pt idx="3">
                  <c:v>769365</c:v>
                </c:pt>
              </c:numCache>
            </c:numRef>
          </c:yVal>
          <c:smooth val="0"/>
          <c:extLst>
            <c:ext xmlns:c16="http://schemas.microsoft.com/office/drawing/2014/chart" uri="{C3380CC4-5D6E-409C-BE32-E72D297353CC}">
              <c16:uniqueId val="{00000000-CA33-4E97-9151-D032F8B66A66}"/>
            </c:ext>
          </c:extLst>
        </c:ser>
        <c:ser>
          <c:idx val="1"/>
          <c:order val="1"/>
          <c:tx>
            <c:strRef>
              <c:f>'FS, TR (2)'!$C$62</c:f>
              <c:strCache>
                <c:ptCount val="1"/>
                <c:pt idx="0">
                  <c:v>Net Income</c:v>
                </c:pt>
              </c:strCache>
            </c:strRef>
          </c:tx>
          <c:xVal>
            <c:numRef>
              <c:f>'FS, TR (2)'!$A$64:$A$67</c:f>
              <c:numCache>
                <c:formatCode>General</c:formatCode>
                <c:ptCount val="4"/>
                <c:pt idx="0">
                  <c:v>2020</c:v>
                </c:pt>
                <c:pt idx="1">
                  <c:v>2021</c:v>
                </c:pt>
                <c:pt idx="2">
                  <c:v>2022</c:v>
                </c:pt>
                <c:pt idx="3">
                  <c:v>2023</c:v>
                </c:pt>
              </c:numCache>
            </c:numRef>
          </c:xVal>
          <c:yVal>
            <c:numRef>
              <c:f>'FS, TR (2)'!$C$64:$C$67</c:f>
              <c:numCache>
                <c:formatCode>"$"#,##0_);\("$"#,##0\)</c:formatCode>
                <c:ptCount val="4"/>
                <c:pt idx="0">
                  <c:v>58995</c:v>
                </c:pt>
                <c:pt idx="1">
                  <c:v>65326</c:v>
                </c:pt>
                <c:pt idx="2">
                  <c:v>75937</c:v>
                </c:pt>
                <c:pt idx="3">
                  <c:v>91912</c:v>
                </c:pt>
              </c:numCache>
            </c:numRef>
          </c:yVal>
          <c:smooth val="0"/>
          <c:extLst>
            <c:ext xmlns:c16="http://schemas.microsoft.com/office/drawing/2014/chart" uri="{C3380CC4-5D6E-409C-BE32-E72D297353CC}">
              <c16:uniqueId val="{00000000-F1D6-4CEF-8CED-AC4A992D07BC}"/>
            </c:ext>
          </c:extLst>
        </c:ser>
        <c:dLbls>
          <c:showLegendKey val="0"/>
          <c:showVal val="0"/>
          <c:showCatName val="0"/>
          <c:showSerName val="0"/>
          <c:showPercent val="0"/>
          <c:showBubbleSize val="0"/>
        </c:dLbls>
        <c:axId val="-227454032"/>
        <c:axId val="-227444784"/>
      </c:scatterChart>
      <c:valAx>
        <c:axId val="-227454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44784"/>
        <c:crosses val="autoZero"/>
        <c:crossBetween val="midCat"/>
        <c:majorUnit val="1"/>
        <c:minorUnit val="1"/>
      </c:valAx>
      <c:valAx>
        <c:axId val="-227444784"/>
        <c:scaling>
          <c:orientation val="minMax"/>
        </c:scaling>
        <c:delete val="0"/>
        <c:axPos val="l"/>
        <c:majorGridlines>
          <c:spPr>
            <a:ln w="3175">
              <a:solidFill>
                <a:srgbClr val="000000"/>
              </a:solidFill>
              <a:prstDash val="solid"/>
            </a:ln>
          </c:spPr>
        </c:majorGridlines>
        <c:numFmt formatCode="&quot;$&quot;#,##0_);\(&quot;$&quot;#,##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54032"/>
        <c:crosses val="autoZero"/>
        <c:crossBetween val="midCat"/>
      </c:valAx>
      <c:spPr>
        <a:solidFill>
          <a:srgbClr val="C0C0C0"/>
        </a:solidFill>
        <a:ln w="12700">
          <a:solidFill>
            <a:srgbClr val="808080"/>
          </a:solidFill>
          <a:prstDash val="solid"/>
        </a:ln>
      </c:spPr>
    </c:plotArea>
    <c:legend>
      <c:legendPos val="b"/>
      <c:layout>
        <c:manualLayout>
          <c:xMode val="edge"/>
          <c:yMode val="edge"/>
          <c:x val="0.40376294811849056"/>
          <c:y val="0.92117243747530764"/>
          <c:w val="0.32171382771516177"/>
          <c:h val="5.7295907077336741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000000"/>
                </a:solidFill>
                <a:latin typeface="Arial"/>
                <a:ea typeface="Arial"/>
                <a:cs typeface="Arial"/>
              </a:defRPr>
            </a:pPr>
            <a:r>
              <a:rPr lang="en-US" sz="1400" b="1" i="0" u="none" strike="noStrike" baseline="0">
                <a:solidFill>
                  <a:srgbClr val="000000"/>
                </a:solidFill>
                <a:latin typeface="Arial"/>
                <a:cs typeface="Arial"/>
              </a:rPr>
              <a:t>Tootsie Roll</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000000"/>
                </a:solidFill>
                <a:latin typeface="Arial"/>
                <a:ea typeface="Arial"/>
                <a:cs typeface="Arial"/>
              </a:defRPr>
            </a:pPr>
            <a:r>
              <a:rPr lang="en-US" sz="1000" b="1" i="0" u="none" strike="noStrike" baseline="0">
                <a:solidFill>
                  <a:srgbClr val="000000"/>
                </a:solidFill>
                <a:latin typeface="Arial"/>
                <a:cs typeface="Arial"/>
              </a:rPr>
              <a:t>Expense Distribution, 2023</a:t>
            </a:r>
          </a:p>
        </c:rich>
      </c:tx>
      <c:layout>
        <c:manualLayout>
          <c:xMode val="edge"/>
          <c:yMode val="edge"/>
          <c:x val="0.34487783087266666"/>
          <c:y val="3.5874527831689262E-2"/>
        </c:manualLayout>
      </c:layout>
      <c:overlay val="0"/>
      <c:spPr>
        <a:noFill/>
        <a:ln w="25400">
          <a:noFill/>
        </a:ln>
      </c:spPr>
    </c:title>
    <c:autoTitleDeleted val="0"/>
    <c:plotArea>
      <c:layout>
        <c:manualLayout>
          <c:layoutTarget val="inner"/>
          <c:xMode val="edge"/>
          <c:yMode val="edge"/>
          <c:x val="0.31457475786711836"/>
          <c:y val="0.26905895873766988"/>
          <c:w val="0.39249694559567083"/>
          <c:h val="0.60986697313871763"/>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1FDB-46CE-96FD-172BAD94F84E}"/>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1FDB-46CE-96FD-172BAD94F84E}"/>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1FDB-46CE-96FD-172BAD94F84E}"/>
              </c:ext>
            </c:extLst>
          </c:dPt>
          <c:dLbls>
            <c:dLbl>
              <c:idx val="0"/>
              <c:layout>
                <c:manualLayout>
                  <c:x val="6.8314284309389503E-2"/>
                  <c:y val="4.55300582779155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DB-46CE-96FD-172BAD94F84E}"/>
                </c:ext>
              </c:extLst>
            </c:dLbl>
            <c:dLbl>
              <c:idx val="1"/>
              <c:layout>
                <c:manualLayout>
                  <c:x val="-7.3025410925806847E-2"/>
                  <c:y val="1.152462071182258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DB-46CE-96FD-172BAD94F84E}"/>
                </c:ext>
              </c:extLst>
            </c:dLbl>
            <c:dLbl>
              <c:idx val="2"/>
              <c:layout>
                <c:manualLayout>
                  <c:x val="-0.20242026845152244"/>
                  <c:y val="3.466956323097290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DB-46CE-96FD-172BAD94F84E}"/>
                </c:ext>
              </c:extLst>
            </c:dLbl>
            <c:dLbl>
              <c:idx val="3"/>
              <c:layout>
                <c:manualLayout>
                  <c:x val="0.20318472823428008"/>
                  <c:y val="-3.20785219352062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DB-46CE-96FD-172BAD94F84E}"/>
                </c:ext>
              </c:extLst>
            </c:dLbl>
            <c:dLbl>
              <c:idx val="4"/>
              <c:layout>
                <c:manualLayout>
                  <c:xMode val="edge"/>
                  <c:yMode val="edge"/>
                  <c:x val="0.17171741369810564"/>
                  <c:y val="0.197309903074290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DB-46CE-96FD-172BAD94F84E}"/>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'FS, TR (2)'!$A$95:$A$98</c:f>
              <c:strCache>
                <c:ptCount val="4"/>
                <c:pt idx="0">
                  <c:v>Cost of Goods Sold &amp; Royalty Cost</c:v>
                </c:pt>
                <c:pt idx="1">
                  <c:v>SG &amp; A Expenses</c:v>
                </c:pt>
                <c:pt idx="2">
                  <c:v>Interest Expense</c:v>
                </c:pt>
                <c:pt idx="3">
                  <c:v>Income Tax</c:v>
                </c:pt>
              </c:strCache>
            </c:strRef>
          </c:cat>
          <c:val>
            <c:numRef>
              <c:f>'FS, TR (2)'!$C$95:$C$98</c:f>
              <c:numCache>
                <c:formatCode>"$"#,##0_);\("$"#,##0\)</c:formatCode>
                <c:ptCount val="4"/>
                <c:pt idx="0">
                  <c:v>512525</c:v>
                </c:pt>
                <c:pt idx="1">
                  <c:v>115012</c:v>
                </c:pt>
                <c:pt idx="2">
                  <c:v>337</c:v>
                </c:pt>
                <c:pt idx="3">
                  <c:v>28008</c:v>
                </c:pt>
              </c:numCache>
            </c:numRef>
          </c:val>
          <c:extLst>
            <c:ext xmlns:c16="http://schemas.microsoft.com/office/drawing/2014/chart" uri="{C3380CC4-5D6E-409C-BE32-E72D297353CC}">
              <c16:uniqueId val="{00000008-1FDB-46CE-96FD-172BAD94F84E}"/>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175" b="1" i="0" u="none" strike="noStrike" kern="1200" baseline="0">
                <a:solidFill>
                  <a:srgbClr val="000000"/>
                </a:solidFill>
                <a:latin typeface="Arial"/>
                <a:ea typeface="Arial"/>
                <a:cs typeface="Arial"/>
              </a:defRPr>
            </a:pPr>
            <a:r>
              <a:rPr lang="en-US" sz="1400" b="1" i="0" u="none" strike="noStrike" baseline="0">
                <a:solidFill>
                  <a:srgbClr val="000000"/>
                </a:solidFill>
                <a:latin typeface="Arial"/>
                <a:cs typeface="Arial"/>
              </a:rPr>
              <a:t>Tootsie Roll</a:t>
            </a:r>
            <a:endParaRPr lang="en-US" sz="1350" b="1" i="0" u="none" strike="noStrike" baseline="0">
              <a:solidFill>
                <a:srgbClr val="000000"/>
              </a:solidFill>
              <a:latin typeface="Arial"/>
              <a:cs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sz="1175" b="1" i="0" u="none" strike="noStrike" kern="1200" baseline="0">
                <a:solidFill>
                  <a:srgbClr val="000000"/>
                </a:solidFill>
                <a:latin typeface="Arial"/>
                <a:ea typeface="Arial"/>
                <a:cs typeface="Arial"/>
              </a:defRPr>
            </a:pPr>
            <a:r>
              <a:rPr lang="en-US" sz="975" b="1" i="0" u="none" strike="noStrike" baseline="0">
                <a:solidFill>
                  <a:srgbClr val="000000"/>
                </a:solidFill>
                <a:latin typeface="Arial"/>
                <a:cs typeface="Arial"/>
              </a:rPr>
              <a:t>Asset Distribution, Dec 31, 2023</a:t>
            </a:r>
          </a:p>
        </c:rich>
      </c:tx>
      <c:layout>
        <c:manualLayout>
          <c:xMode val="edge"/>
          <c:yMode val="edge"/>
          <c:x val="0.32323277872584677"/>
          <c:y val="3.5377460342868858E-2"/>
        </c:manualLayout>
      </c:layout>
      <c:overlay val="0"/>
      <c:spPr>
        <a:noFill/>
        <a:ln w="25400">
          <a:noFill/>
        </a:ln>
      </c:spPr>
    </c:title>
    <c:autoTitleDeleted val="0"/>
    <c:plotArea>
      <c:layout>
        <c:manualLayout>
          <c:layoutTarget val="inner"/>
          <c:xMode val="edge"/>
          <c:yMode val="edge"/>
          <c:x val="0.32756178915521111"/>
          <c:y val="0.27830268803056957"/>
          <c:w val="0.36507987954303139"/>
          <c:h val="0.596699831116390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3EE0-473A-9659-24F5D7BA4560}"/>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3EE0-473A-9659-24F5D7BA4560}"/>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3EE0-473A-9659-24F5D7BA4560}"/>
              </c:ext>
            </c:extLst>
          </c:dPt>
          <c:dLbls>
            <c:dLbl>
              <c:idx val="0"/>
              <c:layout>
                <c:manualLayout>
                  <c:x val="3.4605434060418001E-2"/>
                  <c:y val="-3.98034526605105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E0-473A-9659-24F5D7BA4560}"/>
                </c:ext>
              </c:extLst>
            </c:dLbl>
            <c:dLbl>
              <c:idx val="1"/>
              <c:layout>
                <c:manualLayout>
                  <c:x val="5.2110458912517019E-2"/>
                  <c:y val="-5.21281810410737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E0-473A-9659-24F5D7BA4560}"/>
                </c:ext>
              </c:extLst>
            </c:dLbl>
            <c:dLbl>
              <c:idx val="2"/>
              <c:layout>
                <c:manualLayout>
                  <c:x val="-1.5923142897153561E-2"/>
                  <c:y val="9.664518184032526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E0-473A-9659-24F5D7BA4560}"/>
                </c:ext>
              </c:extLst>
            </c:dLbl>
            <c:dLbl>
              <c:idx val="3"/>
              <c:layout>
                <c:manualLayout>
                  <c:x val="-2.6320802426892812E-3"/>
                  <c:y val="6.0803652748063807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E0-473A-9659-24F5D7BA4560}"/>
                </c:ext>
              </c:extLst>
            </c:dLbl>
            <c:dLbl>
              <c:idx val="4"/>
              <c:layout>
                <c:manualLayout>
                  <c:xMode val="edge"/>
                  <c:yMode val="edge"/>
                  <c:x val="0.19191946236847124"/>
                  <c:y val="0.8820780112155306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E0-473A-9659-24F5D7BA4560}"/>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'FS, TR (2)'!$A$129:$A$132</c:f>
              <c:strCache>
                <c:ptCount val="4"/>
                <c:pt idx="0">
                  <c:v>Cash</c:v>
                </c:pt>
                <c:pt idx="1">
                  <c:v>Accounts Receivable</c:v>
                </c:pt>
                <c:pt idx="2">
                  <c:v>Inventory</c:v>
                </c:pt>
                <c:pt idx="3">
                  <c:v>Net Plant, and Equipment</c:v>
                </c:pt>
              </c:strCache>
            </c:strRef>
          </c:cat>
          <c:val>
            <c:numRef>
              <c:f>'FS, TR (2)'!$C$129:$C$132</c:f>
              <c:numCache>
                <c:formatCode>"$"#,##0_);\("$"#,##0\)</c:formatCode>
                <c:ptCount val="4"/>
                <c:pt idx="0">
                  <c:v>76290</c:v>
                </c:pt>
                <c:pt idx="1">
                  <c:v>55568</c:v>
                </c:pt>
                <c:pt idx="2">
                  <c:v>94921</c:v>
                </c:pt>
                <c:pt idx="3">
                  <c:v>222978</c:v>
                </c:pt>
              </c:numCache>
            </c:numRef>
          </c:val>
          <c:extLst>
            <c:ext xmlns:c16="http://schemas.microsoft.com/office/drawing/2014/chart" uri="{C3380CC4-5D6E-409C-BE32-E72D297353CC}">
              <c16:uniqueId val="{00000008-3EE0-473A-9659-24F5D7BA4560}"/>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000000"/>
                </a:solidFill>
                <a:latin typeface="Arial"/>
                <a:ea typeface="Arial"/>
                <a:cs typeface="Arial"/>
              </a:defRPr>
            </a:pPr>
            <a:r>
              <a:rPr lang="en-US" sz="1400" b="1" i="0" u="none" strike="noStrike" baseline="0">
                <a:solidFill>
                  <a:srgbClr val="000000"/>
                </a:solidFill>
                <a:latin typeface="Arial"/>
                <a:cs typeface="Arial"/>
              </a:rPr>
              <a:t>Tootsie Roll</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000000"/>
                </a:solidFill>
                <a:latin typeface="Arial"/>
                <a:ea typeface="Arial"/>
                <a:cs typeface="Arial"/>
              </a:defRPr>
            </a:pPr>
            <a:r>
              <a:rPr lang="en-US" sz="1000" b="1" i="0" u="none" strike="noStrike" baseline="0">
                <a:solidFill>
                  <a:srgbClr val="000000"/>
                </a:solidFill>
                <a:latin typeface="Arial"/>
                <a:cs typeface="Arial"/>
              </a:rPr>
              <a:t>Capital Structure, Dec 31, 2023</a:t>
            </a:r>
          </a:p>
        </c:rich>
      </c:tx>
      <c:layout>
        <c:manualLayout>
          <c:xMode val="edge"/>
          <c:yMode val="edge"/>
          <c:x val="0.32080958810398985"/>
          <c:y val="3.4764869568082744E-2"/>
        </c:manualLayout>
      </c:layout>
      <c:overlay val="0"/>
      <c:spPr>
        <a:noFill/>
        <a:ln w="25400">
          <a:noFill/>
        </a:ln>
      </c:spPr>
    </c:title>
    <c:autoTitleDeleted val="0"/>
    <c:plotArea>
      <c:layout>
        <c:manualLayout>
          <c:layoutTarget val="inner"/>
          <c:xMode val="edge"/>
          <c:yMode val="edge"/>
          <c:x val="0.31358414693047704"/>
          <c:y val="0.29243390283740306"/>
          <c:w val="0.39306399983912294"/>
          <c:h val="0.55623791308932391"/>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17BA-42E0-AF5E-3AC1D4F4CB3F}"/>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17BA-42E0-AF5E-3AC1D4F4CB3F}"/>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17BA-42E0-AF5E-3AC1D4F4CB3F}"/>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17BA-42E0-AF5E-3AC1D4F4CB3F}"/>
              </c:ext>
            </c:extLst>
          </c:dPt>
          <c:dLbls>
            <c:dLbl>
              <c:idx val="0"/>
              <c:layout>
                <c:manualLayout>
                  <c:x val="5.5853275665718703E-2"/>
                  <c:y val="-6.37586613180465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BA-42E0-AF5E-3AC1D4F4CB3F}"/>
                </c:ext>
              </c:extLst>
            </c:dLbl>
            <c:dLbl>
              <c:idx val="1"/>
              <c:layout>
                <c:manualLayout>
                  <c:x val="-0.34021521352727313"/>
                  <c:y val="-2.39834802853582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BA-42E0-AF5E-3AC1D4F4CB3F}"/>
                </c:ext>
              </c:extLst>
            </c:dLbl>
            <c:dLbl>
              <c:idx val="2"/>
              <c:layout>
                <c:manualLayout>
                  <c:x val="0.29818958056447237"/>
                  <c:y val="-6.611297678174253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BA-42E0-AF5E-3AC1D4F4CB3F}"/>
                </c:ext>
              </c:extLst>
            </c:dLbl>
            <c:dLbl>
              <c:idx val="3"/>
              <c:layout>
                <c:manualLayout>
                  <c:x val="0.24831806837926754"/>
                  <c:y val="4.86544696756765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BA-42E0-AF5E-3AC1D4F4CB3F}"/>
                </c:ext>
              </c:extLst>
            </c:dLbl>
            <c:dLbl>
              <c:idx val="4"/>
              <c:layout>
                <c:manualLayout>
                  <c:x val="-4.2846874327642982E-2"/>
                  <c:y val="3.04043961284734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BA-42E0-AF5E-3AC1D4F4CB3F}"/>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'FS, TR (2)'!$A$166:$A$170</c:f>
              <c:strCache>
                <c:ptCount val="5"/>
                <c:pt idx="0">
                  <c:v>Accounts Payable</c:v>
                </c:pt>
                <c:pt idx="1">
                  <c:v>Short-Term Debt</c:v>
                </c:pt>
                <c:pt idx="2">
                  <c:v>Other Current Liabilities</c:v>
                </c:pt>
                <c:pt idx="3">
                  <c:v>Long-Term Debt</c:v>
                </c:pt>
                <c:pt idx="4">
                  <c:v>Owner's Equity</c:v>
                </c:pt>
              </c:strCache>
            </c:strRef>
          </c:cat>
          <c:val>
            <c:numRef>
              <c:f>'FS, TR (2)'!$C$166:$C$170</c:f>
              <c:numCache>
                <c:formatCode>"$"#,##0_);\("$"#,##0\)</c:formatCode>
                <c:ptCount val="5"/>
                <c:pt idx="0">
                  <c:v>15816</c:v>
                </c:pt>
                <c:pt idx="1">
                  <c:v>1088</c:v>
                </c:pt>
                <c:pt idx="2">
                  <c:v>10044</c:v>
                </c:pt>
                <c:pt idx="3">
                  <c:v>0</c:v>
                </c:pt>
                <c:pt idx="4">
                  <c:v>823107</c:v>
                </c:pt>
              </c:numCache>
            </c:numRef>
          </c:val>
          <c:extLst>
            <c:ext xmlns:c16="http://schemas.microsoft.com/office/drawing/2014/chart" uri="{C3380CC4-5D6E-409C-BE32-E72D297353CC}">
              <c16:uniqueId val="{00000009-17BA-42E0-AF5E-3AC1D4F4CB3F}"/>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Main Street Store</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Sales and Income Record</a:t>
            </a:r>
          </a:p>
        </c:rich>
      </c:tx>
      <c:layout>
        <c:manualLayout>
          <c:xMode val="edge"/>
          <c:yMode val="edge"/>
          <c:x val="0.35311168222549111"/>
          <c:y val="3.6036085573606297E-2"/>
        </c:manualLayout>
      </c:layout>
      <c:overlay val="0"/>
      <c:spPr>
        <a:noFill/>
        <a:ln w="25400">
          <a:noFill/>
        </a:ln>
      </c:spPr>
    </c:title>
    <c:autoTitleDeleted val="0"/>
    <c:plotArea>
      <c:layout>
        <c:manualLayout>
          <c:layoutTarget val="inner"/>
          <c:xMode val="edge"/>
          <c:yMode val="edge"/>
          <c:x val="0.15774251378105941"/>
          <c:y val="0.24324357762184159"/>
          <c:w val="0.79160692695632406"/>
          <c:h val="0.5698206031326476"/>
        </c:manualLayout>
      </c:layout>
      <c:scatterChart>
        <c:scatterStyle val="lineMarker"/>
        <c:varyColors val="0"/>
        <c:ser>
          <c:idx val="0"/>
          <c:order val="0"/>
          <c:tx>
            <c:strRef>
              <c:f>Sheet1!$B$12</c:f>
              <c:strCache>
                <c:ptCount val="1"/>
                <c:pt idx="0">
                  <c:v>Sales</c:v>
                </c:pt>
              </c:strCache>
            </c:strRef>
          </c:tx>
          <c:spPr>
            <a:ln w="25400">
              <a:solidFill>
                <a:srgbClr val="FF0000"/>
              </a:solidFill>
              <a:prstDash val="solid"/>
            </a:ln>
          </c:spPr>
          <c:marker>
            <c:symbol val="diamond"/>
            <c:size val="7"/>
            <c:spPr>
              <a:solidFill>
                <a:srgbClr val="000080"/>
              </a:solidFill>
              <a:ln>
                <a:solidFill>
                  <a:srgbClr val="000080"/>
                </a:solidFill>
                <a:prstDash val="solid"/>
              </a:ln>
            </c:spPr>
          </c:marker>
          <c:dLbls>
            <c:spPr>
              <a:noFill/>
              <a:ln w="25400">
                <a:noFill/>
              </a:ln>
            </c:spPr>
            <c:txPr>
              <a:bodyPr/>
              <a:lstStyle/>
              <a:p>
                <a:pPr>
                  <a:defRPr sz="9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Sheet1!$A$14:$A$17</c:f>
              <c:numCache>
                <c:formatCode>General</c:formatCode>
                <c:ptCount val="4"/>
                <c:pt idx="0">
                  <c:v>2008</c:v>
                </c:pt>
                <c:pt idx="1">
                  <c:v>2009</c:v>
                </c:pt>
                <c:pt idx="2">
                  <c:v>2010</c:v>
                </c:pt>
                <c:pt idx="3">
                  <c:v>2011</c:v>
                </c:pt>
              </c:numCache>
            </c:numRef>
          </c:xVal>
          <c:yVal>
            <c:numRef>
              <c:f>Sheet1!$B$14:$B$17</c:f>
              <c:numCache>
                <c:formatCode>"$"#,##0_);\("$"#,##0\)</c:formatCode>
                <c:ptCount val="4"/>
                <c:pt idx="0">
                  <c:v>1100000</c:v>
                </c:pt>
                <c:pt idx="1">
                  <c:v>900000</c:v>
                </c:pt>
                <c:pt idx="2">
                  <c:v>1100000</c:v>
                </c:pt>
                <c:pt idx="3">
                  <c:v>1200000</c:v>
                </c:pt>
              </c:numCache>
            </c:numRef>
          </c:yVal>
          <c:smooth val="0"/>
          <c:extLst>
            <c:ext xmlns:c16="http://schemas.microsoft.com/office/drawing/2014/chart" uri="{C3380CC4-5D6E-409C-BE32-E72D297353CC}">
              <c16:uniqueId val="{00000000-2D9B-4732-A9D9-831B917DC609}"/>
            </c:ext>
          </c:extLst>
        </c:ser>
        <c:ser>
          <c:idx val="1"/>
          <c:order val="1"/>
          <c:tx>
            <c:strRef>
              <c:f>Sheet1!$C$12</c:f>
              <c:strCache>
                <c:ptCount val="1"/>
                <c:pt idx="0">
                  <c:v>Net Income</c:v>
                </c:pt>
              </c:strCache>
            </c:strRef>
          </c:tx>
          <c:spPr>
            <a:ln w="25400">
              <a:solidFill>
                <a:srgbClr val="0000FF"/>
              </a:solidFill>
              <a:prstDash val="solid"/>
            </a:ln>
          </c:spPr>
          <c:marker>
            <c:symbol val="square"/>
            <c:size val="7"/>
            <c:spPr>
              <a:solidFill>
                <a:srgbClr val="000080"/>
              </a:solidFill>
              <a:ln>
                <a:solidFill>
                  <a:srgbClr val="000080"/>
                </a:solidFill>
                <a:prstDash val="solid"/>
              </a:ln>
            </c:spPr>
          </c:marker>
          <c:dLbls>
            <c:spPr>
              <a:noFill/>
              <a:ln w="25400">
                <a:noFill/>
              </a:ln>
            </c:spPr>
            <c:txPr>
              <a:bodyPr/>
              <a:lstStyle/>
              <a:p>
                <a:pPr>
                  <a:defRPr sz="9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Sheet1!$A$14:$A$17</c:f>
              <c:numCache>
                <c:formatCode>General</c:formatCode>
                <c:ptCount val="4"/>
                <c:pt idx="0">
                  <c:v>2008</c:v>
                </c:pt>
                <c:pt idx="1">
                  <c:v>2009</c:v>
                </c:pt>
                <c:pt idx="2">
                  <c:v>2010</c:v>
                </c:pt>
                <c:pt idx="3">
                  <c:v>2011</c:v>
                </c:pt>
              </c:numCache>
            </c:numRef>
          </c:xVal>
          <c:yVal>
            <c:numRef>
              <c:f>Sheet1!$C$14:$C$17</c:f>
              <c:numCache>
                <c:formatCode>"$"#,##0_);\("$"#,##0\)</c:formatCode>
                <c:ptCount val="4"/>
                <c:pt idx="0">
                  <c:v>15000</c:v>
                </c:pt>
                <c:pt idx="1">
                  <c:v>13000</c:v>
                </c:pt>
                <c:pt idx="2">
                  <c:v>16000</c:v>
                </c:pt>
                <c:pt idx="3">
                  <c:v>18000</c:v>
                </c:pt>
              </c:numCache>
            </c:numRef>
          </c:yVal>
          <c:smooth val="0"/>
          <c:extLst>
            <c:ext xmlns:c16="http://schemas.microsoft.com/office/drawing/2014/chart" uri="{C3380CC4-5D6E-409C-BE32-E72D297353CC}">
              <c16:uniqueId val="{00000001-2D9B-4732-A9D9-831B917DC609}"/>
            </c:ext>
          </c:extLst>
        </c:ser>
        <c:dLbls>
          <c:showLegendKey val="0"/>
          <c:showVal val="0"/>
          <c:showCatName val="0"/>
          <c:showSerName val="0"/>
          <c:showPercent val="0"/>
          <c:showBubbleSize val="0"/>
        </c:dLbls>
        <c:axId val="-227454032"/>
        <c:axId val="-227444784"/>
      </c:scatterChart>
      <c:valAx>
        <c:axId val="-227454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44784"/>
        <c:crosses val="autoZero"/>
        <c:crossBetween val="midCat"/>
        <c:majorUnit val="1"/>
        <c:minorUnit val="1"/>
      </c:valAx>
      <c:valAx>
        <c:axId val="-227444784"/>
        <c:scaling>
          <c:orientation val="minMax"/>
        </c:scaling>
        <c:delete val="0"/>
        <c:axPos val="l"/>
        <c:majorGridlines>
          <c:spPr>
            <a:ln w="3175">
              <a:solidFill>
                <a:srgbClr val="000000"/>
              </a:solidFill>
              <a:prstDash val="solid"/>
            </a:ln>
          </c:spPr>
        </c:majorGridlines>
        <c:numFmt formatCode="&quot;$&quot;#,##0_);\(&quot;$&quot;#,##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54032"/>
        <c:crosses val="autoZero"/>
        <c:crossBetween val="midCat"/>
      </c:valAx>
      <c:spPr>
        <a:solidFill>
          <a:srgbClr val="C0C0C0"/>
        </a:solidFill>
        <a:ln w="12700">
          <a:solidFill>
            <a:srgbClr val="808080"/>
          </a:solidFill>
          <a:prstDash val="solid"/>
        </a:ln>
      </c:spPr>
    </c:plotArea>
    <c:legend>
      <c:legendPos val="b"/>
      <c:layout>
        <c:manualLayout>
          <c:xMode val="edge"/>
          <c:yMode val="edge"/>
          <c:x val="0.40376294811849056"/>
          <c:y val="0.92117243747530764"/>
          <c:w val="0.2981188792559496"/>
          <c:h val="5.8558639057110291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Main Street Store</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Expense Distribution, 2011</a:t>
            </a:r>
          </a:p>
        </c:rich>
      </c:tx>
      <c:layout>
        <c:manualLayout>
          <c:xMode val="edge"/>
          <c:yMode val="edge"/>
          <c:x val="0.34487783087266666"/>
          <c:y val="3.5874527831689262E-2"/>
        </c:manualLayout>
      </c:layout>
      <c:overlay val="0"/>
      <c:spPr>
        <a:noFill/>
        <a:ln w="25400">
          <a:noFill/>
        </a:ln>
      </c:spPr>
    </c:title>
    <c:autoTitleDeleted val="0"/>
    <c:plotArea>
      <c:layout>
        <c:manualLayout>
          <c:layoutTarget val="inner"/>
          <c:xMode val="edge"/>
          <c:yMode val="edge"/>
          <c:x val="0.31457475786711836"/>
          <c:y val="0.26905895873766988"/>
          <c:w val="0.39249694559567083"/>
          <c:h val="0.60986697313871763"/>
        </c:manualLayout>
      </c:layout>
      <c:pieChart>
        <c:varyColors val="1"/>
        <c:ser>
          <c:idx val="0"/>
          <c:order val="0"/>
          <c:tx>
            <c:v>Expenses</c:v>
          </c:tx>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7B0A-4ADA-AC57-E4178AC4B587}"/>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7B0A-4ADA-AC57-E4178AC4B587}"/>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7B0A-4ADA-AC57-E4178AC4B587}"/>
              </c:ext>
            </c:extLst>
          </c:dPt>
          <c:dLbls>
            <c:dLbl>
              <c:idx val="0"/>
              <c:layout>
                <c:manualLayout>
                  <c:x val="6.8314284309389503E-2"/>
                  <c:y val="4.55300582779155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0A-4ADA-AC57-E4178AC4B587}"/>
                </c:ext>
              </c:extLst>
            </c:dLbl>
            <c:dLbl>
              <c:idx val="1"/>
              <c:layout>
                <c:manualLayout>
                  <c:x val="-7.3025410925806847E-2"/>
                  <c:y val="1.152462071182258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0A-4ADA-AC57-E4178AC4B587}"/>
                </c:ext>
              </c:extLst>
            </c:dLbl>
            <c:dLbl>
              <c:idx val="2"/>
              <c:layout>
                <c:manualLayout>
                  <c:x val="-0.20242026845152244"/>
                  <c:y val="3.466956323097290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0A-4ADA-AC57-E4178AC4B587}"/>
                </c:ext>
              </c:extLst>
            </c:dLbl>
            <c:dLbl>
              <c:idx val="3"/>
              <c:layout>
                <c:manualLayout>
                  <c:x val="0.20318472823428008"/>
                  <c:y val="-3.20785219352062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0A-4ADA-AC57-E4178AC4B587}"/>
                </c:ext>
              </c:extLst>
            </c:dLbl>
            <c:dLbl>
              <c:idx val="4"/>
              <c:layout>
                <c:manualLayout>
                  <c:xMode val="edge"/>
                  <c:yMode val="edge"/>
                  <c:x val="0.17171741369810564"/>
                  <c:y val="0.197309903074290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0A-4ADA-AC57-E4178AC4B587}"/>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Sheet1!$B$40:$B$43</c:f>
              <c:strCache>
                <c:ptCount val="4"/>
                <c:pt idx="0">
                  <c:v>Cost of Goods Sold</c:v>
                </c:pt>
                <c:pt idx="1">
                  <c:v>S, G &amp; A Expenses</c:v>
                </c:pt>
                <c:pt idx="2">
                  <c:v>Interest Expense</c:v>
                </c:pt>
                <c:pt idx="3">
                  <c:v>Income Tax</c:v>
                </c:pt>
              </c:strCache>
            </c:strRef>
          </c:cat>
          <c:val>
            <c:numRef>
              <c:f>Sheet1!$D$40:$D$43</c:f>
              <c:numCache>
                <c:formatCode>"$"#,##0_);\("$"#,##0\)</c:formatCode>
                <c:ptCount val="4"/>
                <c:pt idx="0">
                  <c:v>850000</c:v>
                </c:pt>
                <c:pt idx="1">
                  <c:v>311000</c:v>
                </c:pt>
                <c:pt idx="2">
                  <c:v>9000</c:v>
                </c:pt>
                <c:pt idx="3">
                  <c:v>12000</c:v>
                </c:pt>
              </c:numCache>
            </c:numRef>
          </c:val>
          <c:extLst>
            <c:ext xmlns:c16="http://schemas.microsoft.com/office/drawing/2014/chart" uri="{C3380CC4-5D6E-409C-BE32-E72D297353CC}">
              <c16:uniqueId val="{00000008-7B0A-4ADA-AC57-E4178AC4B587}"/>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n-US" sz="1175" b="1" i="0" u="none" strike="noStrike" baseline="0">
                <a:solidFill>
                  <a:srgbClr val="000000"/>
                </a:solidFill>
                <a:latin typeface="Arial"/>
                <a:cs typeface="Arial"/>
              </a:rPr>
              <a:t>Main Street Store</a:t>
            </a:r>
            <a:endParaRPr lang="en-US" sz="1350" b="1" i="0" u="none" strike="noStrike" baseline="0">
              <a:solidFill>
                <a:srgbClr val="000000"/>
              </a:solidFill>
              <a:latin typeface="Arial"/>
              <a:cs typeface="Arial"/>
            </a:endParaRPr>
          </a:p>
          <a:p>
            <a:pPr>
              <a:defRPr sz="1175" b="1" i="0" u="none" strike="noStrike" baseline="0">
                <a:solidFill>
                  <a:srgbClr val="000000"/>
                </a:solidFill>
                <a:latin typeface="Arial"/>
                <a:ea typeface="Arial"/>
                <a:cs typeface="Arial"/>
              </a:defRPr>
            </a:pPr>
            <a:r>
              <a:rPr lang="en-US" sz="975" b="1" i="0" u="none" strike="noStrike" baseline="0">
                <a:solidFill>
                  <a:srgbClr val="000000"/>
                </a:solidFill>
                <a:latin typeface="Arial"/>
                <a:cs typeface="Arial"/>
              </a:rPr>
              <a:t>Asset Distribution, Dec 31, 2011</a:t>
            </a:r>
          </a:p>
        </c:rich>
      </c:tx>
      <c:layout>
        <c:manualLayout>
          <c:xMode val="edge"/>
          <c:yMode val="edge"/>
          <c:x val="0.32323277872584677"/>
          <c:y val="3.5377460342868858E-2"/>
        </c:manualLayout>
      </c:layout>
      <c:overlay val="0"/>
      <c:spPr>
        <a:noFill/>
        <a:ln w="25400">
          <a:noFill/>
        </a:ln>
      </c:spPr>
    </c:title>
    <c:autoTitleDeleted val="0"/>
    <c:plotArea>
      <c:layout>
        <c:manualLayout>
          <c:layoutTarget val="inner"/>
          <c:xMode val="edge"/>
          <c:yMode val="edge"/>
          <c:x val="0.32756178915521111"/>
          <c:y val="0.27830268803056957"/>
          <c:w val="0.36507987954303139"/>
          <c:h val="0.5966998311163908"/>
        </c:manualLayout>
      </c:layout>
      <c:pieChart>
        <c:varyColors val="1"/>
        <c:ser>
          <c:idx val="0"/>
          <c:order val="0"/>
          <c:tx>
            <c:v>Assets</c:v>
          </c:tx>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C9C6-4066-ADDE-F7F941EF1F51}"/>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C9C6-4066-ADDE-F7F941EF1F51}"/>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C9C6-4066-ADDE-F7F941EF1F51}"/>
              </c:ext>
            </c:extLst>
          </c:dPt>
          <c:dLbls>
            <c:dLbl>
              <c:idx val="0"/>
              <c:layout>
                <c:manualLayout>
                  <c:x val="3.4605434060418001E-2"/>
                  <c:y val="-3.98034526605105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C6-4066-ADDE-F7F941EF1F51}"/>
                </c:ext>
              </c:extLst>
            </c:dLbl>
            <c:dLbl>
              <c:idx val="1"/>
              <c:layout>
                <c:manualLayout>
                  <c:x val="5.2110458912517019E-2"/>
                  <c:y val="-5.21281810410737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C6-4066-ADDE-F7F941EF1F51}"/>
                </c:ext>
              </c:extLst>
            </c:dLbl>
            <c:dLbl>
              <c:idx val="2"/>
              <c:layout>
                <c:manualLayout>
                  <c:x val="-3.3466617725950082E-2"/>
                  <c:y val="1.33603131868305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C6-4066-ADDE-F7F941EF1F51}"/>
                </c:ext>
              </c:extLst>
            </c:dLbl>
            <c:dLbl>
              <c:idx val="3"/>
              <c:layout>
                <c:manualLayout>
                  <c:x val="-2.6320802426892812E-3"/>
                  <c:y val="6.0803652748063807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C6-4066-ADDE-F7F941EF1F51}"/>
                </c:ext>
              </c:extLst>
            </c:dLbl>
            <c:dLbl>
              <c:idx val="4"/>
              <c:layout>
                <c:manualLayout>
                  <c:xMode val="edge"/>
                  <c:yMode val="edge"/>
                  <c:x val="0.19191946236847124"/>
                  <c:y val="0.8820780112155306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C6-4066-ADDE-F7F941EF1F51}"/>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Sheet1!$B$69:$B$72</c:f>
              <c:strCache>
                <c:ptCount val="4"/>
                <c:pt idx="0">
                  <c:v>Cash</c:v>
                </c:pt>
                <c:pt idx="1">
                  <c:v>Accounts Receivable</c:v>
                </c:pt>
                <c:pt idx="2">
                  <c:v>Inventory</c:v>
                </c:pt>
                <c:pt idx="3">
                  <c:v>Net Plant, and Equipment</c:v>
                </c:pt>
              </c:strCache>
            </c:strRef>
          </c:cat>
          <c:val>
            <c:numRef>
              <c:f>Sheet1!$D$69:$D$72</c:f>
              <c:numCache>
                <c:formatCode>"$"#,##0_);\("$"#,##0\)</c:formatCode>
                <c:ptCount val="4"/>
                <c:pt idx="0">
                  <c:v>34000</c:v>
                </c:pt>
                <c:pt idx="1">
                  <c:v>80000</c:v>
                </c:pt>
                <c:pt idx="2">
                  <c:v>170000</c:v>
                </c:pt>
                <c:pt idx="3">
                  <c:v>36000</c:v>
                </c:pt>
              </c:numCache>
            </c:numRef>
          </c:val>
          <c:extLst>
            <c:ext xmlns:c16="http://schemas.microsoft.com/office/drawing/2014/chart" uri="{C3380CC4-5D6E-409C-BE32-E72D297353CC}">
              <c16:uniqueId val="{00000008-C9C6-4066-ADDE-F7F941EF1F51}"/>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Main Street Store</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Capital Structure, Dec 31, 2011</a:t>
            </a:r>
          </a:p>
        </c:rich>
      </c:tx>
      <c:layout>
        <c:manualLayout>
          <c:xMode val="edge"/>
          <c:yMode val="edge"/>
          <c:x val="0.32080958810398985"/>
          <c:y val="3.4764869568082744E-2"/>
        </c:manualLayout>
      </c:layout>
      <c:overlay val="0"/>
      <c:spPr>
        <a:noFill/>
        <a:ln w="25400">
          <a:noFill/>
        </a:ln>
      </c:spPr>
    </c:title>
    <c:autoTitleDeleted val="0"/>
    <c:plotArea>
      <c:layout>
        <c:manualLayout>
          <c:layoutTarget val="inner"/>
          <c:xMode val="edge"/>
          <c:yMode val="edge"/>
          <c:x val="0.31358414693047704"/>
          <c:y val="0.29243390283740306"/>
          <c:w val="0.39306399983912294"/>
          <c:h val="0.55623791308932391"/>
        </c:manualLayout>
      </c:layout>
      <c:pieChart>
        <c:varyColors val="1"/>
        <c:ser>
          <c:idx val="0"/>
          <c:order val="0"/>
          <c:tx>
            <c:v>Capital Structure</c:v>
          </c:tx>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D22B-4C38-9448-526135D1C8E6}"/>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D22B-4C38-9448-526135D1C8E6}"/>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D22B-4C38-9448-526135D1C8E6}"/>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D22B-4C38-9448-526135D1C8E6}"/>
              </c:ext>
            </c:extLst>
          </c:dPt>
          <c:dLbls>
            <c:dLbl>
              <c:idx val="0"/>
              <c:layout>
                <c:manualLayout>
                  <c:x val="5.5853275665718703E-2"/>
                  <c:y val="-6.37586613180465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22B-4C38-9448-526135D1C8E6}"/>
                </c:ext>
              </c:extLst>
            </c:dLbl>
            <c:dLbl>
              <c:idx val="1"/>
              <c:layout>
                <c:manualLayout>
                  <c:x val="4.1039699320016033E-2"/>
                  <c:y val="-4.46169310160605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2B-4C38-9448-526135D1C8E6}"/>
                </c:ext>
              </c:extLst>
            </c:dLbl>
            <c:dLbl>
              <c:idx val="2"/>
              <c:layout>
                <c:manualLayout>
                  <c:x val="6.895402174785506E-2"/>
                  <c:y val="-6.267420363642954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2B-4C38-9448-526135D1C8E6}"/>
                </c:ext>
              </c:extLst>
            </c:dLbl>
            <c:dLbl>
              <c:idx val="3"/>
              <c:layout>
                <c:manualLayout>
                  <c:x val="6.4929592613114748E-2"/>
                  <c:y val="-8.890138820240102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2B-4C38-9448-526135D1C8E6}"/>
                </c:ext>
              </c:extLst>
            </c:dLbl>
            <c:dLbl>
              <c:idx val="4"/>
              <c:layout>
                <c:manualLayout>
                  <c:x val="-4.2846874327642982E-2"/>
                  <c:y val="3.04043961284734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2B-4C38-9448-526135D1C8E6}"/>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Sheet1!$B$97:$B$101</c:f>
              <c:strCache>
                <c:ptCount val="5"/>
                <c:pt idx="0">
                  <c:v>Accounts Payable</c:v>
                </c:pt>
                <c:pt idx="1">
                  <c:v>Short-Term Debt</c:v>
                </c:pt>
                <c:pt idx="2">
                  <c:v>Other Current Liabilities</c:v>
                </c:pt>
                <c:pt idx="3">
                  <c:v>Long-Term Debt</c:v>
                </c:pt>
                <c:pt idx="4">
                  <c:v>Owner's Equity</c:v>
                </c:pt>
              </c:strCache>
            </c:strRef>
          </c:cat>
          <c:val>
            <c:numRef>
              <c:f>Sheet1!$D$97:$D$101</c:f>
              <c:numCache>
                <c:formatCode>"$"#,##0_);\("$"#,##0\)</c:formatCode>
                <c:ptCount val="5"/>
                <c:pt idx="0">
                  <c:v>35000</c:v>
                </c:pt>
                <c:pt idx="1">
                  <c:v>20000</c:v>
                </c:pt>
                <c:pt idx="2">
                  <c:v>12000</c:v>
                </c:pt>
                <c:pt idx="3">
                  <c:v>50000</c:v>
                </c:pt>
                <c:pt idx="4">
                  <c:v>203000</c:v>
                </c:pt>
              </c:numCache>
            </c:numRef>
          </c:val>
          <c:extLst>
            <c:ext xmlns:c16="http://schemas.microsoft.com/office/drawing/2014/chart" uri="{C3380CC4-5D6E-409C-BE32-E72D297353CC}">
              <c16:uniqueId val="{00000009-D22B-4C38-9448-526135D1C8E6}"/>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000000"/>
                </a:solidFill>
                <a:latin typeface="Arial"/>
                <a:ea typeface="Arial"/>
                <a:cs typeface="Arial"/>
              </a:defRPr>
            </a:pPr>
            <a:r>
              <a:rPr lang="en-US" sz="1200" b="1" i="0" u="none" strike="noStrike" baseline="0">
                <a:effectLst/>
              </a:rPr>
              <a:t>Joe’s Fly-By-Night Oil</a:t>
            </a:r>
          </a:p>
          <a:p>
            <a:pPr>
              <a:defRPr sz="1200" b="1"/>
            </a:pPr>
            <a:r>
              <a:rPr lang="en-US" sz="1000" b="1" i="0" u="none" strike="noStrike" baseline="0">
                <a:solidFill>
                  <a:srgbClr val="000000"/>
                </a:solidFill>
                <a:latin typeface="Arial"/>
                <a:cs typeface="Arial"/>
              </a:rPr>
              <a:t>Sales and Income Record</a:t>
            </a:r>
          </a:p>
        </c:rich>
      </c:tx>
      <c:layout>
        <c:manualLayout>
          <c:xMode val="edge"/>
          <c:yMode val="edge"/>
          <c:x val="0.35311168222549111"/>
          <c:y val="3.6036085573606297E-2"/>
        </c:manualLayout>
      </c:layout>
      <c:overlay val="0"/>
      <c:spPr>
        <a:noFill/>
        <a:ln w="25400">
          <a:noFill/>
        </a:ln>
        <a:effectLst/>
      </c:spPr>
      <c:txPr>
        <a:bodyPr rot="0" spcFirstLastPara="1" vertOverflow="ellipsis" vert="horz" wrap="square" anchor="ctr" anchorCtr="1"/>
        <a:lstStyle/>
        <a:p>
          <a:pPr>
            <a:defRPr sz="1200" b="1"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0.15774251378105941"/>
          <c:y val="0.24324357762184159"/>
          <c:w val="0.79160692695632406"/>
          <c:h val="0.5698206031326476"/>
        </c:manualLayout>
      </c:layout>
      <c:scatterChart>
        <c:scatterStyle val="lineMarker"/>
        <c:varyColors val="0"/>
        <c:ser>
          <c:idx val="0"/>
          <c:order val="0"/>
          <c:tx>
            <c:strRef>
              <c:f>[1]Sheet1!$B$4</c:f>
              <c:strCache>
                <c:ptCount val="1"/>
                <c:pt idx="0">
                  <c:v>Sales</c:v>
                </c:pt>
              </c:strCache>
            </c:strRef>
          </c:tx>
          <c:spPr>
            <a:ln w="28575" cap="rnd" cmpd="sng" algn="ctr">
              <a:solidFill>
                <a:schemeClr val="accent2">
                  <a:shade val="95000"/>
                  <a:satMod val="105000"/>
                </a:schemeClr>
              </a:solidFill>
              <a:prstDash val="solid"/>
              <a:round/>
            </a:ln>
            <a:effectLst/>
          </c:spPr>
          <c:marker>
            <c:symbol val="diamond"/>
            <c:size val="7"/>
            <c:spPr>
              <a:solidFill>
                <a:schemeClr val="accent2"/>
              </a:solidFill>
              <a:ln w="9525" cap="flat" cmpd="sng" algn="ctr">
                <a:solidFill>
                  <a:schemeClr val="accent2">
                    <a:shade val="95000"/>
                    <a:satMod val="105000"/>
                  </a:schemeClr>
                </a:solidFill>
                <a:prstDash val="solid"/>
                <a:round/>
              </a:ln>
              <a:effectLst/>
            </c:spPr>
          </c:marker>
          <c:dLbls>
            <c:spPr>
              <a:noFill/>
              <a:ln w="25400">
                <a:noFill/>
              </a:ln>
              <a:effec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[1]Sheet1!$A$6:$A$9</c:f>
              <c:numCache>
                <c:formatCode>General</c:formatCode>
                <c:ptCount val="4"/>
                <c:pt idx="0">
                  <c:v>2021</c:v>
                </c:pt>
                <c:pt idx="1">
                  <c:v>2022</c:v>
                </c:pt>
                <c:pt idx="2">
                  <c:v>2023</c:v>
                </c:pt>
                <c:pt idx="3">
                  <c:v>2024</c:v>
                </c:pt>
              </c:numCache>
            </c:numRef>
          </c:xVal>
          <c:yVal>
            <c:numRef>
              <c:f>[1]Sheet1!$B$6:$B$9</c:f>
              <c:numCache>
                <c:formatCode>General</c:formatCode>
                <c:ptCount val="4"/>
                <c:pt idx="0">
                  <c:v>8200</c:v>
                </c:pt>
                <c:pt idx="1">
                  <c:v>8000</c:v>
                </c:pt>
                <c:pt idx="2">
                  <c:v>9000</c:v>
                </c:pt>
                <c:pt idx="3">
                  <c:v>10000</c:v>
                </c:pt>
              </c:numCache>
            </c:numRef>
          </c:yVal>
          <c:smooth val="0"/>
          <c:extLst>
            <c:ext xmlns:c16="http://schemas.microsoft.com/office/drawing/2014/chart" uri="{C3380CC4-5D6E-409C-BE32-E72D297353CC}">
              <c16:uniqueId val="{00000000-BD43-4503-A4C9-100EA216B849}"/>
            </c:ext>
          </c:extLst>
        </c:ser>
        <c:ser>
          <c:idx val="1"/>
          <c:order val="1"/>
          <c:tx>
            <c:strRef>
              <c:f>[1]Sheet1!$C$4</c:f>
              <c:strCache>
                <c:ptCount val="1"/>
                <c:pt idx="0">
                  <c:v>Net Income</c:v>
                </c:pt>
              </c:strCache>
            </c:strRef>
          </c:tx>
          <c:spPr>
            <a:ln w="28575" cap="rnd" cmpd="sng" algn="ctr">
              <a:solidFill>
                <a:schemeClr val="accent4">
                  <a:shade val="95000"/>
                  <a:satMod val="105000"/>
                </a:schemeClr>
              </a:solidFill>
              <a:prstDash val="solid"/>
              <a:round/>
            </a:ln>
            <a:effectLst/>
          </c:spPr>
          <c:marker>
            <c:spPr>
              <a:solidFill>
                <a:schemeClr val="accent4"/>
              </a:solidFill>
              <a:ln w="9525" cap="flat" cmpd="sng" algn="ctr">
                <a:solidFill>
                  <a:schemeClr val="accent4">
                    <a:shade val="95000"/>
                    <a:satMod val="105000"/>
                  </a:schemeClr>
                </a:solidFill>
                <a:prstDash val="solid"/>
                <a:round/>
              </a:ln>
              <a:effectLst/>
            </c:spPr>
          </c:marker>
          <c:xVal>
            <c:numRef>
              <c:f>[1]Sheet1!$A$6:$A$9</c:f>
              <c:numCache>
                <c:formatCode>General</c:formatCode>
                <c:ptCount val="4"/>
                <c:pt idx="0">
                  <c:v>2021</c:v>
                </c:pt>
                <c:pt idx="1">
                  <c:v>2022</c:v>
                </c:pt>
                <c:pt idx="2">
                  <c:v>2023</c:v>
                </c:pt>
                <c:pt idx="3">
                  <c:v>2024</c:v>
                </c:pt>
              </c:numCache>
            </c:numRef>
          </c:xVal>
          <c:yVal>
            <c:numRef>
              <c:f>[1]Sheet1!$C$6:$C$9</c:f>
              <c:numCache>
                <c:formatCode>General</c:formatCode>
                <c:ptCount val="4"/>
                <c:pt idx="0">
                  <c:v>1500</c:v>
                </c:pt>
                <c:pt idx="1">
                  <c:v>1400</c:v>
                </c:pt>
                <c:pt idx="2">
                  <c:v>1600</c:v>
                </c:pt>
                <c:pt idx="3">
                  <c:v>1800</c:v>
                </c:pt>
              </c:numCache>
            </c:numRef>
          </c:yVal>
          <c:smooth val="0"/>
          <c:extLst>
            <c:ext xmlns:c16="http://schemas.microsoft.com/office/drawing/2014/chart" uri="{C3380CC4-5D6E-409C-BE32-E72D297353CC}">
              <c16:uniqueId val="{00000001-BD43-4503-A4C9-100EA216B849}"/>
            </c:ext>
          </c:extLst>
        </c:ser>
        <c:dLbls>
          <c:showLegendKey val="0"/>
          <c:showVal val="0"/>
          <c:showCatName val="0"/>
          <c:showSerName val="0"/>
          <c:showPercent val="0"/>
          <c:showBubbleSize val="0"/>
        </c:dLbls>
        <c:axId val="-227454032"/>
        <c:axId val="-227444784"/>
      </c:scatterChart>
      <c:valAx>
        <c:axId val="-227454032"/>
        <c:scaling>
          <c:orientation val="minMax"/>
        </c:scaling>
        <c:delete val="0"/>
        <c:axPos val="b"/>
        <c:numFmt formatCode="General" sourceLinked="1"/>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27444784"/>
        <c:crosses val="autoZero"/>
        <c:crossBetween val="midCat"/>
        <c:majorUnit val="1"/>
        <c:minorUnit val="1"/>
      </c:valAx>
      <c:valAx>
        <c:axId val="-227444784"/>
        <c:scaling>
          <c:orientation val="minMax"/>
        </c:scaling>
        <c:delete val="0"/>
        <c:axPos val="l"/>
        <c:majorGridlines>
          <c:spPr>
            <a:ln w="3175" cap="flat" cmpd="sng" algn="ctr">
              <a:solidFill>
                <a:srgbClr val="000000"/>
              </a:solidFill>
              <a:prstDash val="solid"/>
              <a:round/>
            </a:ln>
            <a:effectLst/>
          </c:spPr>
        </c:majorGridlines>
        <c:numFmt formatCode="General" sourceLinked="1"/>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27454032"/>
        <c:crosses val="autoZero"/>
        <c:crossBetween val="midCat"/>
      </c:valAx>
      <c:spPr>
        <a:solidFill>
          <a:srgbClr val="C0C0C0"/>
        </a:solidFill>
        <a:ln w="12700">
          <a:solidFill>
            <a:srgbClr val="808080"/>
          </a:solidFill>
          <a:prstDash val="solid"/>
        </a:ln>
        <a:effectLst/>
      </c:spPr>
    </c:plotArea>
    <c:legend>
      <c:legendPos val="b"/>
      <c:layout>
        <c:manualLayout>
          <c:xMode val="edge"/>
          <c:yMode val="edge"/>
          <c:x val="0.40376294811849056"/>
          <c:y val="0.92117243747530764"/>
          <c:w val="0.35800216660014822"/>
          <c:h val="7.8827346304074827E-2"/>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825"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cap="flat" cmpd="sng" algn="ctr">
      <a:solidFill>
        <a:srgbClr val="000000"/>
      </a:solidFill>
      <a:prstDash val="solid"/>
      <a:round/>
    </a:ln>
    <a:effectLst/>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effectLst/>
              </a:rPr>
              <a:t>Joe’s Fly-By-Night Oil</a:t>
            </a: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Expense Distribution, 2024</a:t>
            </a:r>
          </a:p>
        </c:rich>
      </c:tx>
      <c:layout>
        <c:manualLayout>
          <c:xMode val="edge"/>
          <c:yMode val="edge"/>
          <c:x val="0.34487783087266666"/>
          <c:y val="3.5874527831689262E-2"/>
        </c:manualLayout>
      </c:layout>
      <c:overlay val="0"/>
      <c:spPr>
        <a:noFill/>
        <a:ln w="25400">
          <a:noFill/>
        </a:ln>
      </c:spPr>
    </c:title>
    <c:autoTitleDeleted val="0"/>
    <c:plotArea>
      <c:layout>
        <c:manualLayout>
          <c:layoutTarget val="inner"/>
          <c:xMode val="edge"/>
          <c:yMode val="edge"/>
          <c:x val="0.31457475786711836"/>
          <c:y val="0.26905895873766988"/>
          <c:w val="0.39249694559567083"/>
          <c:h val="0.60986697313871763"/>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0D0A-4407-B532-30A903FA2A5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0D0A-4407-B532-30A903FA2A59}"/>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0D0A-4407-B532-30A903FA2A59}"/>
              </c:ext>
            </c:extLst>
          </c:dPt>
          <c:dLbls>
            <c:dLbl>
              <c:idx val="0"/>
              <c:layout>
                <c:manualLayout>
                  <c:x val="6.8314284309389503E-2"/>
                  <c:y val="4.55300582779155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0A-4407-B532-30A903FA2A59}"/>
                </c:ext>
              </c:extLst>
            </c:dLbl>
            <c:dLbl>
              <c:idx val="1"/>
              <c:layout>
                <c:manualLayout>
                  <c:x val="-7.3025410925806847E-2"/>
                  <c:y val="1.152462071182258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0A-4407-B532-30A903FA2A59}"/>
                </c:ext>
              </c:extLst>
            </c:dLbl>
            <c:dLbl>
              <c:idx val="2"/>
              <c:layout>
                <c:manualLayout>
                  <c:x val="-0.20242026845152244"/>
                  <c:y val="3.466956323097290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0A-4407-B532-30A903FA2A59}"/>
                </c:ext>
              </c:extLst>
            </c:dLbl>
            <c:dLbl>
              <c:idx val="3"/>
              <c:layout>
                <c:manualLayout>
                  <c:x val="0.20318472823428008"/>
                  <c:y val="-3.20785219352062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0A-4407-B532-30A903FA2A59}"/>
                </c:ext>
              </c:extLst>
            </c:dLbl>
            <c:dLbl>
              <c:idx val="4"/>
              <c:layout>
                <c:manualLayout>
                  <c:xMode val="edge"/>
                  <c:yMode val="edge"/>
                  <c:x val="0.17171741369810564"/>
                  <c:y val="0.197309903074290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0A-4407-B532-30A903FA2A59}"/>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[1]Sheet1!$A$35:$A$38</c:f>
              <c:strCache>
                <c:ptCount val="4"/>
                <c:pt idx="0">
                  <c:v>Cost of Goods Sold</c:v>
                </c:pt>
                <c:pt idx="1">
                  <c:v>S, G &amp; A Expenses</c:v>
                </c:pt>
                <c:pt idx="2">
                  <c:v>Interest Expense</c:v>
                </c:pt>
                <c:pt idx="3">
                  <c:v>Income Tax</c:v>
                </c:pt>
              </c:strCache>
            </c:strRef>
          </c:cat>
          <c:val>
            <c:numRef>
              <c:f>[1]Sheet1!$C$35:$C$38</c:f>
              <c:numCache>
                <c:formatCode>General</c:formatCode>
                <c:ptCount val="4"/>
                <c:pt idx="0">
                  <c:v>4000</c:v>
                </c:pt>
                <c:pt idx="1">
                  <c:v>3000</c:v>
                </c:pt>
                <c:pt idx="2">
                  <c:v>200</c:v>
                </c:pt>
                <c:pt idx="3">
                  <c:v>1000</c:v>
                </c:pt>
              </c:numCache>
            </c:numRef>
          </c:val>
          <c:extLst>
            <c:ext xmlns:c16="http://schemas.microsoft.com/office/drawing/2014/chart" uri="{C3380CC4-5D6E-409C-BE32-E72D297353CC}">
              <c16:uniqueId val="{00000008-0D0A-4407-B532-30A903FA2A59}"/>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n-US" sz="1100" b="1" i="0" u="none" strike="noStrike" baseline="0">
                <a:effectLst/>
              </a:rPr>
              <a:t>Joe’s Fly-By-Night Oil</a:t>
            </a:r>
            <a:endParaRPr lang="en-US" sz="1350" b="1" i="0" u="none" strike="noStrike" baseline="0">
              <a:solidFill>
                <a:srgbClr val="000000"/>
              </a:solidFill>
              <a:latin typeface="Arial"/>
              <a:cs typeface="Arial"/>
            </a:endParaRPr>
          </a:p>
          <a:p>
            <a:pPr>
              <a:defRPr sz="1175" b="1" i="0" u="none" strike="noStrike" baseline="0">
                <a:solidFill>
                  <a:srgbClr val="000000"/>
                </a:solidFill>
                <a:latin typeface="Arial"/>
                <a:ea typeface="Arial"/>
                <a:cs typeface="Arial"/>
              </a:defRPr>
            </a:pPr>
            <a:r>
              <a:rPr lang="en-US" sz="975" b="1" i="0" u="none" strike="noStrike" baseline="0">
                <a:solidFill>
                  <a:srgbClr val="000000"/>
                </a:solidFill>
                <a:latin typeface="Arial"/>
                <a:cs typeface="Arial"/>
              </a:rPr>
              <a:t>Asset Distribution, Dec 31, 2024</a:t>
            </a:r>
          </a:p>
        </c:rich>
      </c:tx>
      <c:layout>
        <c:manualLayout>
          <c:xMode val="edge"/>
          <c:yMode val="edge"/>
          <c:x val="0.32323277872584677"/>
          <c:y val="3.5377460342868858E-2"/>
        </c:manualLayout>
      </c:layout>
      <c:overlay val="0"/>
      <c:spPr>
        <a:noFill/>
        <a:ln w="25400">
          <a:noFill/>
        </a:ln>
      </c:spPr>
    </c:title>
    <c:autoTitleDeleted val="0"/>
    <c:plotArea>
      <c:layout>
        <c:manualLayout>
          <c:layoutTarget val="inner"/>
          <c:xMode val="edge"/>
          <c:yMode val="edge"/>
          <c:x val="0.2948998936991985"/>
          <c:y val="0.19599503870189036"/>
          <c:w val="0.4276247494471771"/>
          <c:h val="0.7412943507060035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C003-4AFF-BA7B-56B3B4DEB52D}"/>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C003-4AFF-BA7B-56B3B4DEB52D}"/>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C003-4AFF-BA7B-56B3B4DEB52D}"/>
              </c:ext>
            </c:extLst>
          </c:dPt>
          <c:dLbls>
            <c:dLbl>
              <c:idx val="0"/>
              <c:layout>
                <c:manualLayout>
                  <c:x val="3.4605434060418001E-2"/>
                  <c:y val="-3.98034526605105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003-4AFF-BA7B-56B3B4DEB52D}"/>
                </c:ext>
              </c:extLst>
            </c:dLbl>
            <c:dLbl>
              <c:idx val="1"/>
              <c:layout>
                <c:manualLayout>
                  <c:x val="5.2110458912517019E-2"/>
                  <c:y val="-5.21281810410737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03-4AFF-BA7B-56B3B4DEB52D}"/>
                </c:ext>
              </c:extLst>
            </c:dLbl>
            <c:dLbl>
              <c:idx val="2"/>
              <c:layout>
                <c:manualLayout>
                  <c:x val="-3.3466617725950082E-2"/>
                  <c:y val="1.33603131868305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03-4AFF-BA7B-56B3B4DEB52D}"/>
                </c:ext>
              </c:extLst>
            </c:dLbl>
            <c:dLbl>
              <c:idx val="3"/>
              <c:layout>
                <c:manualLayout>
                  <c:x val="-2.6320802426892812E-3"/>
                  <c:y val="6.0803652748063807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03-4AFF-BA7B-56B3B4DEB52D}"/>
                </c:ext>
              </c:extLst>
            </c:dLbl>
            <c:dLbl>
              <c:idx val="4"/>
              <c:layout>
                <c:manualLayout>
                  <c:xMode val="edge"/>
                  <c:yMode val="edge"/>
                  <c:x val="0.19191946236847124"/>
                  <c:y val="0.8820780112155306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03-4AFF-BA7B-56B3B4DEB52D}"/>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[1]Sheet1!$A$70:$A$73</c:f>
              <c:strCache>
                <c:ptCount val="4"/>
                <c:pt idx="0">
                  <c:v>Cash</c:v>
                </c:pt>
                <c:pt idx="1">
                  <c:v>Accounts Receivable</c:v>
                </c:pt>
                <c:pt idx="2">
                  <c:v>Inventory</c:v>
                </c:pt>
                <c:pt idx="3">
                  <c:v>Net Plant, and Equipment</c:v>
                </c:pt>
              </c:strCache>
            </c:strRef>
          </c:cat>
          <c:val>
            <c:numRef>
              <c:f>[1]Sheet1!$C$70:$C$73</c:f>
              <c:numCache>
                <c:formatCode>General</c:formatCode>
                <c:ptCount val="4"/>
                <c:pt idx="0">
                  <c:v>5000</c:v>
                </c:pt>
                <c:pt idx="1">
                  <c:v>3000</c:v>
                </c:pt>
                <c:pt idx="2">
                  <c:v>17000</c:v>
                </c:pt>
                <c:pt idx="3">
                  <c:v>15000</c:v>
                </c:pt>
              </c:numCache>
            </c:numRef>
          </c:val>
          <c:extLst>
            <c:ext xmlns:c16="http://schemas.microsoft.com/office/drawing/2014/chart" uri="{C3380CC4-5D6E-409C-BE32-E72D297353CC}">
              <c16:uniqueId val="{00000008-C003-4AFF-BA7B-56B3B4DEB52D}"/>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effectLst/>
              </a:rPr>
              <a:t>Joe’s Fly-By-Night Oil</a:t>
            </a:r>
            <a:endParaRPr lang="en-US" sz="16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Capital Structure, Dec 31, 2024</a:t>
            </a:r>
          </a:p>
        </c:rich>
      </c:tx>
      <c:layout>
        <c:manualLayout>
          <c:xMode val="edge"/>
          <c:yMode val="edge"/>
          <c:x val="0.32080958810398985"/>
          <c:y val="3.4764869568082744E-2"/>
        </c:manualLayout>
      </c:layout>
      <c:overlay val="0"/>
      <c:spPr>
        <a:noFill/>
        <a:ln w="25400">
          <a:noFill/>
        </a:ln>
      </c:spPr>
    </c:title>
    <c:autoTitleDeleted val="0"/>
    <c:plotArea>
      <c:layout>
        <c:manualLayout>
          <c:layoutTarget val="inner"/>
          <c:xMode val="edge"/>
          <c:yMode val="edge"/>
          <c:x val="0.31358414693047704"/>
          <c:y val="0.29243390283740306"/>
          <c:w val="0.39306399983912294"/>
          <c:h val="0.55623791308932391"/>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F2B4-4932-B288-1747DDB4BB90}"/>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F2B4-4932-B288-1747DDB4BB90}"/>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F2B4-4932-B288-1747DDB4BB90}"/>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F2B4-4932-B288-1747DDB4BB90}"/>
              </c:ext>
            </c:extLst>
          </c:dPt>
          <c:dLbls>
            <c:dLbl>
              <c:idx val="0"/>
              <c:layout>
                <c:manualLayout>
                  <c:x val="5.5853275665718703E-2"/>
                  <c:y val="-6.37586613180465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2B4-4932-B288-1747DDB4BB90}"/>
                </c:ext>
              </c:extLst>
            </c:dLbl>
            <c:dLbl>
              <c:idx val="1"/>
              <c:layout>
                <c:manualLayout>
                  <c:x val="4.1039699320016033E-2"/>
                  <c:y val="-4.46169310160605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B4-4932-B288-1747DDB4BB90}"/>
                </c:ext>
              </c:extLst>
            </c:dLbl>
            <c:dLbl>
              <c:idx val="2"/>
              <c:layout>
                <c:manualLayout>
                  <c:x val="6.895402174785506E-2"/>
                  <c:y val="-6.267420363642954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B4-4932-B288-1747DDB4BB90}"/>
                </c:ext>
              </c:extLst>
            </c:dLbl>
            <c:dLbl>
              <c:idx val="3"/>
              <c:layout>
                <c:manualLayout>
                  <c:x val="6.4929592613114748E-2"/>
                  <c:y val="-8.890138820240102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B4-4932-B288-1747DDB4BB90}"/>
                </c:ext>
              </c:extLst>
            </c:dLbl>
            <c:dLbl>
              <c:idx val="4"/>
              <c:layout>
                <c:manualLayout>
                  <c:x val="-4.2846874327642982E-2"/>
                  <c:y val="3.04043961284734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B4-4932-B288-1747DDB4BB90}"/>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[1]Sheet1!$A$100:$A$104</c:f>
              <c:strCache>
                <c:ptCount val="5"/>
                <c:pt idx="0">
                  <c:v>Accounts Payable</c:v>
                </c:pt>
                <c:pt idx="1">
                  <c:v>Short-Term Debt</c:v>
                </c:pt>
                <c:pt idx="2">
                  <c:v>Other Current Liabilities</c:v>
                </c:pt>
                <c:pt idx="3">
                  <c:v>Long-Term Debt</c:v>
                </c:pt>
                <c:pt idx="4">
                  <c:v>Owner's Equity</c:v>
                </c:pt>
              </c:strCache>
            </c:strRef>
          </c:cat>
          <c:val>
            <c:numRef>
              <c:f>[1]Sheet1!$C$100:$C$104</c:f>
              <c:numCache>
                <c:formatCode>General</c:formatCode>
                <c:ptCount val="5"/>
                <c:pt idx="0">
                  <c:v>17000</c:v>
                </c:pt>
                <c:pt idx="1">
                  <c:v>17000</c:v>
                </c:pt>
                <c:pt idx="2">
                  <c:v>17000</c:v>
                </c:pt>
                <c:pt idx="3">
                  <c:v>3000</c:v>
                </c:pt>
                <c:pt idx="4">
                  <c:v>20000</c:v>
                </c:pt>
              </c:numCache>
            </c:numRef>
          </c:val>
          <c:extLst>
            <c:ext xmlns:c16="http://schemas.microsoft.com/office/drawing/2014/chart" uri="{C3380CC4-5D6E-409C-BE32-E72D297353CC}">
              <c16:uniqueId val="{00000009-F2B4-4932-B288-1747DDB4BB90}"/>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0</xdr:colOff>
      <xdr:row>0</xdr:row>
      <xdr:rowOff>0</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609600" y="0"/>
          <a:ext cx="1219200" cy="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1000" b="0" i="0" u="none" strike="noStrike" baseline="0">
              <a:solidFill>
                <a:srgbClr val="000000"/>
              </a:solidFill>
              <a:latin typeface="Arial"/>
              <a:cs typeface="Arial"/>
            </a:rPr>
            <a:t>Going from 0 to 100 percent payout would have two possible effects. First, it might affect the price of the stock causing a change in the formula value of the warrant; however, it is not at all clear that the stock price would change, let alone what the change would be. Second, and more important here, the increase in the payout ratio drastically lowers the expected growth rate. This reduces the chance of the stock going up in the future. This lowers the expected value of the warrant, hence the premium and the price of the warrant.</a:t>
          </a:r>
        </a:p>
      </xdr:txBody>
    </xdr:sp>
    <xdr:clientData/>
  </xdr:twoCellAnchor>
  <xdr:twoCellAnchor editAs="oneCell">
    <xdr:from>
      <xdr:col>3</xdr:col>
      <xdr:colOff>0</xdr:colOff>
      <xdr:row>52</xdr:row>
      <xdr:rowOff>0</xdr:rowOff>
    </xdr:from>
    <xdr:to>
      <xdr:col>3</xdr:col>
      <xdr:colOff>381000</xdr:colOff>
      <xdr:row>57</xdr:row>
      <xdr:rowOff>1270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flipH="1">
          <a:off x="1828800" y="8420100"/>
          <a:ext cx="381000" cy="807720"/>
        </a:xfrm>
        <a:prstGeom prst="rect">
          <a:avLst/>
        </a:prstGeom>
        <a:noFill/>
        <a:ln w="9525">
          <a:noFill/>
          <a:miter lim="800000"/>
          <a:headEnd/>
          <a:tailEnd/>
        </a:ln>
      </xdr:spPr>
    </xdr:sp>
    <xdr:clientData/>
  </xdr:twoCellAnchor>
  <xdr:twoCellAnchor>
    <xdr:from>
      <xdr:col>5</xdr:col>
      <xdr:colOff>568591</xdr:colOff>
      <xdr:row>58</xdr:row>
      <xdr:rowOff>7128</xdr:rowOff>
    </xdr:from>
    <xdr:to>
      <xdr:col>14</xdr:col>
      <xdr:colOff>336345</xdr:colOff>
      <xdr:row>78</xdr:row>
      <xdr:rowOff>37608</xdr:rowOff>
    </xdr:to>
    <xdr:graphicFrame macro="">
      <xdr:nvGraphicFramePr>
        <xdr:cNvPr id="4" name="Chart 1">
          <a:extLst>
            <a:ext uri="{FF2B5EF4-FFF2-40B4-BE49-F238E27FC236}">
              <a16:creationId xmlns:a16="http://schemas.microsoft.com/office/drawing/2014/main" id="{A8634778-C04F-448B-8FB7-A0AE995D1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80</xdr:row>
      <xdr:rowOff>45720</xdr:rowOff>
    </xdr:from>
    <xdr:to>
      <xdr:col>13</xdr:col>
      <xdr:colOff>533400</xdr:colOff>
      <xdr:row>84</xdr:row>
      <xdr:rowOff>139700</xdr:rowOff>
    </xdr:to>
    <xdr:sp macro="" textlink="">
      <xdr:nvSpPr>
        <xdr:cNvPr id="5" name="Text Box 5">
          <a:extLst>
            <a:ext uri="{FF2B5EF4-FFF2-40B4-BE49-F238E27FC236}">
              <a16:creationId xmlns:a16="http://schemas.microsoft.com/office/drawing/2014/main" id="{0D673440-1292-4823-AC26-E8E2E9AA5655}"/>
            </a:ext>
          </a:extLst>
        </xdr:cNvPr>
        <xdr:cNvSpPr txBox="1">
          <a:spLocks noChangeArrowheads="1"/>
        </xdr:cNvSpPr>
      </xdr:nvSpPr>
      <xdr:spPr bwMode="auto">
        <a:xfrm>
          <a:off x="76200" y="4979670"/>
          <a:ext cx="9848850" cy="74168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Tootsie Roll sales have risen steadily in the last four years, averaging 18% growth per year in sales and 16% in net income. We note that in the up years net income and sales has increaed, which indicates gains in efficienc and effective cost management. Overall, the company has good finance with strong revenue and profit growth.</a:t>
          </a:r>
        </a:p>
      </xdr:txBody>
    </xdr:sp>
    <xdr:clientData/>
  </xdr:twoCellAnchor>
  <xdr:twoCellAnchor>
    <xdr:from>
      <xdr:col>4</xdr:col>
      <xdr:colOff>1137920</xdr:colOff>
      <xdr:row>92</xdr:row>
      <xdr:rowOff>45720</xdr:rowOff>
    </xdr:from>
    <xdr:to>
      <xdr:col>13</xdr:col>
      <xdr:colOff>392430</xdr:colOff>
      <xdr:row>112</xdr:row>
      <xdr:rowOff>91440</xdr:rowOff>
    </xdr:to>
    <xdr:graphicFrame macro="">
      <xdr:nvGraphicFramePr>
        <xdr:cNvPr id="6" name="Chart 2">
          <a:extLst>
            <a:ext uri="{FF2B5EF4-FFF2-40B4-BE49-F238E27FC236}">
              <a16:creationId xmlns:a16="http://schemas.microsoft.com/office/drawing/2014/main" id="{7E1D99F9-7F8D-4549-A555-9F217477A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114</xdr:row>
      <xdr:rowOff>45720</xdr:rowOff>
    </xdr:from>
    <xdr:to>
      <xdr:col>13</xdr:col>
      <xdr:colOff>533400</xdr:colOff>
      <xdr:row>117</xdr:row>
      <xdr:rowOff>137160</xdr:rowOff>
    </xdr:to>
    <xdr:sp macro="" textlink="">
      <xdr:nvSpPr>
        <xdr:cNvPr id="7" name="Text Box 6">
          <a:extLst>
            <a:ext uri="{FF2B5EF4-FFF2-40B4-BE49-F238E27FC236}">
              <a16:creationId xmlns:a16="http://schemas.microsoft.com/office/drawing/2014/main" id="{B1249FC9-390F-4569-83E8-2694AD951940}"/>
            </a:ext>
          </a:extLst>
        </xdr:cNvPr>
        <xdr:cNvSpPr txBox="1">
          <a:spLocks noChangeArrowheads="1"/>
        </xdr:cNvSpPr>
      </xdr:nvSpPr>
      <xdr:spPr bwMode="auto">
        <a:xfrm>
          <a:off x="76200" y="9675495"/>
          <a:ext cx="9848850" cy="577215"/>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More than 75% percent of Tootsie Roll expenses in 2023 consisted of cost of goods sold abd royalty cost which means significant producation costs. It may be high because of its manufacturing cost and fees for brand licensing or intellectual property. Selling, general, and administrative expenses make up less tha twenty percent which seems reasonable for Tootsie Roll. Income tax makes about 4% and interest makes 0% which means it is effectively managing its financing costs.</a:t>
          </a:r>
        </a:p>
      </xdr:txBody>
    </xdr:sp>
    <xdr:clientData/>
  </xdr:twoCellAnchor>
  <xdr:twoCellAnchor>
    <xdr:from>
      <xdr:col>4</xdr:col>
      <xdr:colOff>74295</xdr:colOff>
      <xdr:row>126</xdr:row>
      <xdr:rowOff>76200</xdr:rowOff>
    </xdr:from>
    <xdr:to>
      <xdr:col>12</xdr:col>
      <xdr:colOff>471805</xdr:colOff>
      <xdr:row>145</xdr:row>
      <xdr:rowOff>121920</xdr:rowOff>
    </xdr:to>
    <xdr:graphicFrame macro="">
      <xdr:nvGraphicFramePr>
        <xdr:cNvPr id="8" name="Chart 3">
          <a:extLst>
            <a:ext uri="{FF2B5EF4-FFF2-40B4-BE49-F238E27FC236}">
              <a16:creationId xmlns:a16="http://schemas.microsoft.com/office/drawing/2014/main" id="{67D1D91C-DF9F-4C44-B7A4-51B98A52B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148</xdr:row>
      <xdr:rowOff>45720</xdr:rowOff>
    </xdr:from>
    <xdr:to>
      <xdr:col>13</xdr:col>
      <xdr:colOff>533400</xdr:colOff>
      <xdr:row>151</xdr:row>
      <xdr:rowOff>137160</xdr:rowOff>
    </xdr:to>
    <xdr:sp macro="" textlink="">
      <xdr:nvSpPr>
        <xdr:cNvPr id="9" name="Text Box 7">
          <a:extLst>
            <a:ext uri="{FF2B5EF4-FFF2-40B4-BE49-F238E27FC236}">
              <a16:creationId xmlns:a16="http://schemas.microsoft.com/office/drawing/2014/main" id="{2036FB31-9700-455B-8569-D39DC0B00376}"/>
            </a:ext>
          </a:extLst>
        </xdr:cNvPr>
        <xdr:cNvSpPr txBox="1">
          <a:spLocks noChangeArrowheads="1"/>
        </xdr:cNvSpPr>
      </xdr:nvSpPr>
      <xdr:spPr bwMode="auto">
        <a:xfrm>
          <a:off x="76200" y="14209395"/>
          <a:ext cx="9848850" cy="577215"/>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Nearly fifty percent of Tootsie Roll expenses in 2023 consisted of net plant and equipment which means good amount has been invested in manufacturing and production facilities. Inventory is 21% which means they have enough products avilable to meet customer demand. Accounts receivable is 12% it means the money company is waiting to collect from customers. It shows Tootsie healthy credit practices. Tootsie has 17% of cash is hand to run day-to-day operation and other expenses.</a:t>
          </a:r>
        </a:p>
      </xdr:txBody>
    </xdr:sp>
    <xdr:clientData/>
  </xdr:twoCellAnchor>
  <xdr:twoCellAnchor>
    <xdr:from>
      <xdr:col>5</xdr:col>
      <xdr:colOff>52705</xdr:colOff>
      <xdr:row>163</xdr:row>
      <xdr:rowOff>144056</xdr:rowOff>
    </xdr:from>
    <xdr:to>
      <xdr:col>13</xdr:col>
      <xdr:colOff>442595</xdr:colOff>
      <xdr:row>186</xdr:row>
      <xdr:rowOff>16022</xdr:rowOff>
    </xdr:to>
    <xdr:graphicFrame macro="">
      <xdr:nvGraphicFramePr>
        <xdr:cNvPr id="12" name="Chart 4">
          <a:extLst>
            <a:ext uri="{FF2B5EF4-FFF2-40B4-BE49-F238E27FC236}">
              <a16:creationId xmlns:a16="http://schemas.microsoft.com/office/drawing/2014/main" id="{EDEA1986-30EE-4356-BCD3-AAC248B5A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187</xdr:row>
      <xdr:rowOff>45720</xdr:rowOff>
    </xdr:from>
    <xdr:to>
      <xdr:col>13</xdr:col>
      <xdr:colOff>533400</xdr:colOff>
      <xdr:row>190</xdr:row>
      <xdr:rowOff>137160</xdr:rowOff>
    </xdr:to>
    <xdr:sp macro="" textlink="">
      <xdr:nvSpPr>
        <xdr:cNvPr id="13" name="Text Box 8">
          <a:extLst>
            <a:ext uri="{FF2B5EF4-FFF2-40B4-BE49-F238E27FC236}">
              <a16:creationId xmlns:a16="http://schemas.microsoft.com/office/drawing/2014/main" id="{16CA00F1-E832-4829-8CEC-AADB7D93669C}"/>
            </a:ext>
          </a:extLst>
        </xdr:cNvPr>
        <xdr:cNvSpPr txBox="1">
          <a:spLocks noChangeArrowheads="1"/>
        </xdr:cNvSpPr>
      </xdr:nvSpPr>
      <xdr:spPr bwMode="auto">
        <a:xfrm>
          <a:off x="76200" y="19229070"/>
          <a:ext cx="9848850" cy="577215"/>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Over ninety-five percent equity is occupied by owner which shows strong equity base and financial health. Tootsie accounts payable is less than 5 percent which shows company manages its payables efficiently. Other current liabilities is 1% which shows minor short term obligations. Minimal short term debt indicates low reliance on short-term borrowing. No long term debt means company operates without long terms burrowing.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138430</xdr:colOff>
      <xdr:row>8</xdr:row>
      <xdr:rowOff>68580</xdr:rowOff>
    </xdr:from>
    <xdr:to>
      <xdr:col>13</xdr:col>
      <xdr:colOff>520700</xdr:colOff>
      <xdr:row>28</xdr:row>
      <xdr:rowOff>99060</xdr:rowOff>
    </xdr:to>
    <xdr:graphicFrame macro="">
      <xdr:nvGraphicFramePr>
        <xdr:cNvPr id="1025" name="Chart 1">
          <a:extLst>
            <a:ext uri="{FF2B5EF4-FFF2-40B4-BE49-F238E27FC236}">
              <a16:creationId xmlns:a16="http://schemas.microsoft.com/office/drawing/2014/main" id="{00000000-0008-0000-00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1137920</xdr:colOff>
      <xdr:row>37</xdr:row>
      <xdr:rowOff>45720</xdr:rowOff>
    </xdr:from>
    <xdr:to>
      <xdr:col>13</xdr:col>
      <xdr:colOff>392430</xdr:colOff>
      <xdr:row>57</xdr:row>
      <xdr:rowOff>91440</xdr:rowOff>
    </xdr:to>
    <xdr:graphicFrame macro="">
      <xdr:nvGraphicFramePr>
        <xdr:cNvPr id="1026" name="Chart 2">
          <a:extLst>
            <a:ext uri="{FF2B5EF4-FFF2-40B4-BE49-F238E27FC236}">
              <a16:creationId xmlns:a16="http://schemas.microsoft.com/office/drawing/2014/main" id="{00000000-0008-0000-0000-000002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74295</xdr:colOff>
      <xdr:row>66</xdr:row>
      <xdr:rowOff>76200</xdr:rowOff>
    </xdr:from>
    <xdr:to>
      <xdr:col>13</xdr:col>
      <xdr:colOff>471805</xdr:colOff>
      <xdr:row>85</xdr:row>
      <xdr:rowOff>121920</xdr:rowOff>
    </xdr:to>
    <xdr:graphicFrame macro="">
      <xdr:nvGraphicFramePr>
        <xdr:cNvPr id="1027" name="Chart 3">
          <a:extLst>
            <a:ext uri="{FF2B5EF4-FFF2-40B4-BE49-F238E27FC236}">
              <a16:creationId xmlns:a16="http://schemas.microsoft.com/office/drawing/2014/main" id="{00000000-0008-0000-0000-00000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52705</xdr:colOff>
      <xdr:row>94</xdr:row>
      <xdr:rowOff>22225</xdr:rowOff>
    </xdr:from>
    <xdr:to>
      <xdr:col>13</xdr:col>
      <xdr:colOff>442595</xdr:colOff>
      <xdr:row>116</xdr:row>
      <xdr:rowOff>60325</xdr:rowOff>
    </xdr:to>
    <xdr:graphicFrame macro="">
      <xdr:nvGraphicFramePr>
        <xdr:cNvPr id="1028" name="Chart 4">
          <a:extLst>
            <a:ext uri="{FF2B5EF4-FFF2-40B4-BE49-F238E27FC236}">
              <a16:creationId xmlns:a16="http://schemas.microsoft.com/office/drawing/2014/main" id="{00000000-0008-0000-0000-00000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30</xdr:row>
      <xdr:rowOff>45720</xdr:rowOff>
    </xdr:from>
    <xdr:to>
      <xdr:col>13</xdr:col>
      <xdr:colOff>533400</xdr:colOff>
      <xdr:row>34</xdr:row>
      <xdr:rowOff>139700</xdr:rowOff>
    </xdr:to>
    <xdr:sp macro="" textlink="">
      <xdr:nvSpPr>
        <xdr:cNvPr id="1029" name="Text Box 5">
          <a:extLst>
            <a:ext uri="{FF2B5EF4-FFF2-40B4-BE49-F238E27FC236}">
              <a16:creationId xmlns:a16="http://schemas.microsoft.com/office/drawing/2014/main" id="{00000000-0008-0000-0000-000005040000}"/>
            </a:ext>
          </a:extLst>
        </xdr:cNvPr>
        <xdr:cNvSpPr txBox="1">
          <a:spLocks noChangeArrowheads="1"/>
        </xdr:cNvSpPr>
      </xdr:nvSpPr>
      <xdr:spPr bwMode="auto">
        <a:xfrm>
          <a:off x="76200" y="5074920"/>
          <a:ext cx="9398000" cy="75438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Except for a 15% drop in 2009 Main Street Store's sales have risen steadily in the last four years, averaging 7% growth per year.  Net income has tracked this growth rate each year except, again, for a dip in 2009.  We note that in the up years net income has risen by a greater percentage than sales, which indicates gains in efficiency.   However, what  caused the drop in sales and income in 2009?</a:t>
          </a:r>
        </a:p>
      </xdr:txBody>
    </xdr:sp>
    <xdr:clientData/>
  </xdr:twoCellAnchor>
  <xdr:twoCellAnchor>
    <xdr:from>
      <xdr:col>0</xdr:col>
      <xdr:colOff>76200</xdr:colOff>
      <xdr:row>59</xdr:row>
      <xdr:rowOff>45720</xdr:rowOff>
    </xdr:from>
    <xdr:to>
      <xdr:col>13</xdr:col>
      <xdr:colOff>533400</xdr:colOff>
      <xdr:row>62</xdr:row>
      <xdr:rowOff>137160</xdr:rowOff>
    </xdr:to>
    <xdr:sp macro="" textlink="">
      <xdr:nvSpPr>
        <xdr:cNvPr id="1030" name="Text Box 6">
          <a:extLst>
            <a:ext uri="{FF2B5EF4-FFF2-40B4-BE49-F238E27FC236}">
              <a16:creationId xmlns:a16="http://schemas.microsoft.com/office/drawing/2014/main" id="{00000000-0008-0000-0000-000006040000}"/>
            </a:ext>
          </a:extLst>
        </xdr:cNvPr>
        <xdr:cNvSpPr txBox="1">
          <a:spLocks noChangeArrowheads="1"/>
        </xdr:cNvSpPr>
      </xdr:nvSpPr>
      <xdr:spPr bwMode="auto">
        <a:xfrm>
          <a:off x="76200" y="9997440"/>
          <a:ext cx="9121140" cy="594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Near three-fourths of Main Street Store's expenses in 2011 consisted of cost of goods sold, which we would expect for a retail store.  Selling, general, and administrative expenses make up nearly all the remaining fourth, which, again, appears to be normal for a retail store.  Interest and taxes make up the rest, amounting to only 2% of all expenses.</a:t>
          </a:r>
        </a:p>
      </xdr:txBody>
    </xdr:sp>
    <xdr:clientData/>
  </xdr:twoCellAnchor>
  <xdr:twoCellAnchor>
    <xdr:from>
      <xdr:col>0</xdr:col>
      <xdr:colOff>76200</xdr:colOff>
      <xdr:row>87</xdr:row>
      <xdr:rowOff>45720</xdr:rowOff>
    </xdr:from>
    <xdr:to>
      <xdr:col>13</xdr:col>
      <xdr:colOff>533400</xdr:colOff>
      <xdr:row>90</xdr:row>
      <xdr:rowOff>137160</xdr:rowOff>
    </xdr:to>
    <xdr:sp macro="" textlink="">
      <xdr:nvSpPr>
        <xdr:cNvPr id="1031" name="Text Box 7">
          <a:extLst>
            <a:ext uri="{FF2B5EF4-FFF2-40B4-BE49-F238E27FC236}">
              <a16:creationId xmlns:a16="http://schemas.microsoft.com/office/drawing/2014/main" id="{00000000-0008-0000-0000-000007040000}"/>
            </a:ext>
          </a:extLst>
        </xdr:cNvPr>
        <xdr:cNvSpPr txBox="1">
          <a:spLocks noChangeArrowheads="1"/>
        </xdr:cNvSpPr>
      </xdr:nvSpPr>
      <xdr:spPr bwMode="auto">
        <a:xfrm>
          <a:off x="76200" y="14691360"/>
          <a:ext cx="9121140" cy="594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Over half of Main Street Store's assets are tied up in inventory, which seems high, although it may be normal for a clothing and accessories business (see page 54).  Accounts receivable is also significant, indicating much of Main Street Store's sales are on credit.   Plant &amp;  Equipment seem  small, indicating the store mya rent its building.</a:t>
          </a:r>
        </a:p>
      </xdr:txBody>
    </xdr:sp>
    <xdr:clientData/>
  </xdr:twoCellAnchor>
  <xdr:twoCellAnchor>
    <xdr:from>
      <xdr:col>0</xdr:col>
      <xdr:colOff>76200</xdr:colOff>
      <xdr:row>118</xdr:row>
      <xdr:rowOff>45720</xdr:rowOff>
    </xdr:from>
    <xdr:to>
      <xdr:col>13</xdr:col>
      <xdr:colOff>533400</xdr:colOff>
      <xdr:row>121</xdr:row>
      <xdr:rowOff>137160</xdr:rowOff>
    </xdr:to>
    <xdr:sp macro="" textlink="">
      <xdr:nvSpPr>
        <xdr:cNvPr id="1032" name="Text Box 8">
          <a:extLst>
            <a:ext uri="{FF2B5EF4-FFF2-40B4-BE49-F238E27FC236}">
              <a16:creationId xmlns:a16="http://schemas.microsoft.com/office/drawing/2014/main" id="{00000000-0008-0000-0000-000008040000}"/>
            </a:ext>
          </a:extLst>
        </xdr:cNvPr>
        <xdr:cNvSpPr txBox="1">
          <a:spLocks noChangeArrowheads="1"/>
        </xdr:cNvSpPr>
      </xdr:nvSpPr>
      <xdr:spPr bwMode="auto">
        <a:xfrm>
          <a:off x="76200" y="19888200"/>
          <a:ext cx="9121140" cy="594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Main Street Store finances just over half its assets with equity, which does not seem out of line for a retail clothing manufacturer.  Long and short-term debt together make up about 22% of financing, with most of the rest arising from credit purchases from suppliers (accounts payable).  Nothing here to raise eyebrows.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222547</xdr:colOff>
      <xdr:row>3</xdr:row>
      <xdr:rowOff>0</xdr:rowOff>
    </xdr:from>
    <xdr:to>
      <xdr:col>13</xdr:col>
      <xdr:colOff>97921</xdr:colOff>
      <xdr:row>16</xdr:row>
      <xdr:rowOff>8902</xdr:rowOff>
    </xdr:to>
    <xdr:graphicFrame macro="">
      <xdr:nvGraphicFramePr>
        <xdr:cNvPr id="167" name="Chart 166">
          <a:extLst>
            <a:ext uri="{FF2B5EF4-FFF2-40B4-BE49-F238E27FC236}">
              <a16:creationId xmlns:a16="http://schemas.microsoft.com/office/drawing/2014/main" id="{5B33F48B-7F95-47EF-9CB9-AB6B64474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53412</xdr:colOff>
      <xdr:row>18</xdr:row>
      <xdr:rowOff>89018</xdr:rowOff>
    </xdr:from>
    <xdr:to>
      <xdr:col>12</xdr:col>
      <xdr:colOff>267056</xdr:colOff>
      <xdr:row>21</xdr:row>
      <xdr:rowOff>133528</xdr:rowOff>
    </xdr:to>
    <xdr:sp macro="" textlink="">
      <xdr:nvSpPr>
        <xdr:cNvPr id="168" name="Text Box 5">
          <a:extLst>
            <a:ext uri="{FF2B5EF4-FFF2-40B4-BE49-F238E27FC236}">
              <a16:creationId xmlns:a16="http://schemas.microsoft.com/office/drawing/2014/main" id="{483F66F8-E780-415D-9B8D-F55C109FCED0}"/>
            </a:ext>
          </a:extLst>
        </xdr:cNvPr>
        <xdr:cNvSpPr txBox="1">
          <a:spLocks noChangeArrowheads="1"/>
        </xdr:cNvSpPr>
      </xdr:nvSpPr>
      <xdr:spPr bwMode="auto">
        <a:xfrm>
          <a:off x="53412" y="3003668"/>
          <a:ext cx="7528844" cy="530285"/>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Except for a 2.4% drop in 2022 Joe's Fly-By-Night Oil sales have risen steadily in the last four years, averaging 7% growth per year.  Net income has tracked this growth rate each year except, again, for a dip in 2022.  We note that in the up years net income has remain as same as sales, which indicates gains in efficiency.   However, what  caused the drop in sales and income in 2022?</a:t>
          </a:r>
        </a:p>
      </xdr:txBody>
    </xdr:sp>
    <xdr:clientData/>
  </xdr:twoCellAnchor>
  <xdr:twoCellAnchor>
    <xdr:from>
      <xdr:col>5</xdr:col>
      <xdr:colOff>8903</xdr:colOff>
      <xdr:row>33</xdr:row>
      <xdr:rowOff>151332</xdr:rowOff>
    </xdr:from>
    <xdr:to>
      <xdr:col>11</xdr:col>
      <xdr:colOff>445095</xdr:colOff>
      <xdr:row>51</xdr:row>
      <xdr:rowOff>35607</xdr:rowOff>
    </xdr:to>
    <xdr:graphicFrame macro="">
      <xdr:nvGraphicFramePr>
        <xdr:cNvPr id="169" name="Chart 2">
          <a:extLst>
            <a:ext uri="{FF2B5EF4-FFF2-40B4-BE49-F238E27FC236}">
              <a16:creationId xmlns:a16="http://schemas.microsoft.com/office/drawing/2014/main" id="{1FD0AEF6-0EA5-49A9-8CCE-4A9BD103D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52</xdr:row>
      <xdr:rowOff>0</xdr:rowOff>
    </xdr:from>
    <xdr:to>
      <xdr:col>15</xdr:col>
      <xdr:colOff>29465</xdr:colOff>
      <xdr:row>55</xdr:row>
      <xdr:rowOff>110803</xdr:rowOff>
    </xdr:to>
    <xdr:sp macro="" textlink="">
      <xdr:nvSpPr>
        <xdr:cNvPr id="170" name="Text Box 6">
          <a:extLst>
            <a:ext uri="{FF2B5EF4-FFF2-40B4-BE49-F238E27FC236}">
              <a16:creationId xmlns:a16="http://schemas.microsoft.com/office/drawing/2014/main" id="{3026C703-EC29-49AA-A58F-F36AC57BB923}"/>
            </a:ext>
          </a:extLst>
        </xdr:cNvPr>
        <xdr:cNvSpPr txBox="1">
          <a:spLocks noChangeArrowheads="1"/>
        </xdr:cNvSpPr>
      </xdr:nvSpPr>
      <xdr:spPr bwMode="auto">
        <a:xfrm>
          <a:off x="0" y="8420100"/>
          <a:ext cx="9173465" cy="596578"/>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Near fifty percent of Joe's Fly-By-Night Oil  expenses in 2024 consisted of cost of goods sold, which we would expect for a retail store.  Selling, general, and administrative expenses make up nearly all the remaining thirty percent, which, again, appears to be normal for a retail store.  Interest and taxes make up the rest, amounting to 14% of all expenses which is a bit higher.</a:t>
          </a:r>
        </a:p>
      </xdr:txBody>
    </xdr:sp>
    <xdr:clientData/>
  </xdr:twoCellAnchor>
  <xdr:twoCellAnchor>
    <xdr:from>
      <xdr:col>3</xdr:col>
      <xdr:colOff>792266</xdr:colOff>
      <xdr:row>66</xdr:row>
      <xdr:rowOff>17803</xdr:rowOff>
    </xdr:from>
    <xdr:to>
      <xdr:col>11</xdr:col>
      <xdr:colOff>356075</xdr:colOff>
      <xdr:row>84</xdr:row>
      <xdr:rowOff>124625</xdr:rowOff>
    </xdr:to>
    <xdr:graphicFrame macro="">
      <xdr:nvGraphicFramePr>
        <xdr:cNvPr id="171" name="Chart 3">
          <a:extLst>
            <a:ext uri="{FF2B5EF4-FFF2-40B4-BE49-F238E27FC236}">
              <a16:creationId xmlns:a16="http://schemas.microsoft.com/office/drawing/2014/main" id="{796D229E-8A7B-4AA0-BB8D-5F56EFE77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86</xdr:row>
      <xdr:rowOff>0</xdr:rowOff>
    </xdr:from>
    <xdr:to>
      <xdr:col>13</xdr:col>
      <xdr:colOff>332129</xdr:colOff>
      <xdr:row>89</xdr:row>
      <xdr:rowOff>110802</xdr:rowOff>
    </xdr:to>
    <xdr:sp macro="" textlink="">
      <xdr:nvSpPr>
        <xdr:cNvPr id="172" name="Text Box 7">
          <a:extLst>
            <a:ext uri="{FF2B5EF4-FFF2-40B4-BE49-F238E27FC236}">
              <a16:creationId xmlns:a16="http://schemas.microsoft.com/office/drawing/2014/main" id="{C2F68456-FBF8-4B06-A1C2-C384DD505559}"/>
            </a:ext>
          </a:extLst>
        </xdr:cNvPr>
        <xdr:cNvSpPr txBox="1">
          <a:spLocks noChangeArrowheads="1"/>
        </xdr:cNvSpPr>
      </xdr:nvSpPr>
      <xdr:spPr bwMode="auto">
        <a:xfrm>
          <a:off x="0" y="13925550"/>
          <a:ext cx="8256929" cy="596577"/>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Over half of Joe's Fly-By-Night Oil assets are tied up in inventory, which seems high, although it may be normal for oil business (see </a:t>
          </a:r>
          <a:r>
            <a:rPr lang="en-US" sz="1000" b="0" i="0" u="none" strike="noStrike" baseline="0">
              <a:solidFill>
                <a:srgbClr val="FF0000"/>
              </a:solidFill>
              <a:latin typeface="Arial"/>
              <a:cs typeface="Arial"/>
            </a:rPr>
            <a:t>page</a:t>
          </a:r>
          <a:r>
            <a:rPr lang="en-US" sz="1000" b="0" i="0" u="none" strike="noStrike" baseline="0">
              <a:solidFill>
                <a:srgbClr val="000000"/>
              </a:solidFill>
              <a:latin typeface="Arial"/>
              <a:cs typeface="Arial"/>
            </a:rPr>
            <a:t> </a:t>
          </a:r>
          <a:r>
            <a:rPr lang="en-US" sz="1000" b="0" i="0" u="none" strike="noStrike" baseline="0">
              <a:solidFill>
                <a:srgbClr val="FF0000"/>
              </a:solidFill>
              <a:latin typeface="Arial"/>
              <a:cs typeface="Arial"/>
            </a:rPr>
            <a:t>54</a:t>
          </a:r>
          <a:r>
            <a:rPr lang="en-US" sz="1000" b="0" i="0" u="none" strike="noStrike" baseline="0">
              <a:solidFill>
                <a:srgbClr val="000000"/>
              </a:solidFill>
              <a:latin typeface="Arial"/>
              <a:cs typeface="Arial"/>
            </a:rPr>
            <a:t>).  Accounts receivable is also significant, indicating much of Main Street Store's sales are on credit.   Plant &amp;  Equipment seem  small, indicating the store mya rent its building.</a:t>
          </a:r>
        </a:p>
      </xdr:txBody>
    </xdr:sp>
    <xdr:clientData/>
  </xdr:twoCellAnchor>
  <xdr:twoCellAnchor>
    <xdr:from>
      <xdr:col>4</xdr:col>
      <xdr:colOff>17803</xdr:colOff>
      <xdr:row>91</xdr:row>
      <xdr:rowOff>133528</xdr:rowOff>
    </xdr:from>
    <xdr:to>
      <xdr:col>13</xdr:col>
      <xdr:colOff>275958</xdr:colOff>
      <xdr:row>110</xdr:row>
      <xdr:rowOff>62312</xdr:rowOff>
    </xdr:to>
    <xdr:graphicFrame macro="">
      <xdr:nvGraphicFramePr>
        <xdr:cNvPr id="173" name="Chart 4">
          <a:extLst>
            <a:ext uri="{FF2B5EF4-FFF2-40B4-BE49-F238E27FC236}">
              <a16:creationId xmlns:a16="http://schemas.microsoft.com/office/drawing/2014/main" id="{B4602B1A-864F-4664-A766-B8339CAD0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112</xdr:row>
      <xdr:rowOff>0</xdr:rowOff>
    </xdr:from>
    <xdr:to>
      <xdr:col>12</xdr:col>
      <xdr:colOff>465657</xdr:colOff>
      <xdr:row>115</xdr:row>
      <xdr:rowOff>110801</xdr:rowOff>
    </xdr:to>
    <xdr:sp macro="" textlink="">
      <xdr:nvSpPr>
        <xdr:cNvPr id="174" name="Text Box 8">
          <a:extLst>
            <a:ext uri="{FF2B5EF4-FFF2-40B4-BE49-F238E27FC236}">
              <a16:creationId xmlns:a16="http://schemas.microsoft.com/office/drawing/2014/main" id="{3AABB301-F7A0-4361-B370-CDE3D3F9BCDE}"/>
            </a:ext>
          </a:extLst>
        </xdr:cNvPr>
        <xdr:cNvSpPr txBox="1">
          <a:spLocks noChangeArrowheads="1"/>
        </xdr:cNvSpPr>
      </xdr:nvSpPr>
      <xdr:spPr bwMode="auto">
        <a:xfrm>
          <a:off x="0" y="18135600"/>
          <a:ext cx="7780857" cy="596576"/>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Joe's Fly-By-Night Oil finances just over half its assets with equity, which does not seem out of line for a retail clothing manufacturer.  Long and short-term debt together make up about 22% of financing, with most of the rest arising from credit purchases from suppliers (accounts payable).  Nothing here to raise eyebrows.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hello-world\Book1.xlsx" TargetMode="External"/><Relationship Id="rId1" Type="http://schemas.openxmlformats.org/officeDocument/2006/relationships/externalLinkPath" Target="file:///E:\hello-world\Boo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4">
          <cell r="A4" t="str">
            <v>Year</v>
          </cell>
          <cell r="B4" t="str">
            <v>Sales</v>
          </cell>
          <cell r="C4" t="str">
            <v>Net Income</v>
          </cell>
        </row>
        <row r="6">
          <cell r="A6">
            <v>2021</v>
          </cell>
          <cell r="B6">
            <v>8200</v>
          </cell>
          <cell r="C6">
            <v>1500</v>
          </cell>
        </row>
        <row r="7">
          <cell r="A7">
            <v>2022</v>
          </cell>
          <cell r="B7">
            <v>8000</v>
          </cell>
          <cell r="C7">
            <v>1400</v>
          </cell>
        </row>
        <row r="8">
          <cell r="A8">
            <v>2023</v>
          </cell>
          <cell r="B8">
            <v>9000</v>
          </cell>
          <cell r="C8">
            <v>1600</v>
          </cell>
        </row>
        <row r="9">
          <cell r="A9">
            <v>2024</v>
          </cell>
          <cell r="B9">
            <v>10000</v>
          </cell>
          <cell r="C9">
            <v>1800</v>
          </cell>
        </row>
        <row r="35">
          <cell r="A35" t="str">
            <v>Cost of Goods Sold</v>
          </cell>
          <cell r="C35">
            <v>4000</v>
          </cell>
        </row>
        <row r="36">
          <cell r="A36" t="str">
            <v>S, G &amp; A Expenses</v>
          </cell>
          <cell r="C36">
            <v>3000</v>
          </cell>
        </row>
        <row r="37">
          <cell r="A37" t="str">
            <v>Interest Expense</v>
          </cell>
          <cell r="C37">
            <v>200</v>
          </cell>
        </row>
        <row r="38">
          <cell r="A38" t="str">
            <v>Income Tax</v>
          </cell>
          <cell r="C38">
            <v>1000</v>
          </cell>
        </row>
        <row r="70">
          <cell r="A70" t="str">
            <v>Cash</v>
          </cell>
          <cell r="C70">
            <v>5000</v>
          </cell>
        </row>
        <row r="71">
          <cell r="A71" t="str">
            <v>Accounts Receivable</v>
          </cell>
          <cell r="C71">
            <v>3000</v>
          </cell>
        </row>
        <row r="72">
          <cell r="A72" t="str">
            <v>Inventory</v>
          </cell>
          <cell r="C72">
            <v>17000</v>
          </cell>
        </row>
        <row r="73">
          <cell r="A73" t="str">
            <v>Net Plant, and Equipment</v>
          </cell>
          <cell r="C73">
            <v>15000</v>
          </cell>
        </row>
        <row r="100">
          <cell r="A100" t="str">
            <v>Accounts Payable</v>
          </cell>
          <cell r="C100">
            <v>17000</v>
          </cell>
        </row>
        <row r="101">
          <cell r="A101" t="str">
            <v>Short-Term Debt</v>
          </cell>
          <cell r="C101">
            <v>17000</v>
          </cell>
        </row>
        <row r="102">
          <cell r="A102" t="str">
            <v>Other Current Liabilities</v>
          </cell>
          <cell r="C102">
            <v>17000</v>
          </cell>
        </row>
        <row r="103">
          <cell r="A103" t="str">
            <v>Long-Term Debt</v>
          </cell>
          <cell r="C103">
            <v>3000</v>
          </cell>
        </row>
        <row r="104">
          <cell r="A104" t="str">
            <v>Owner's Equity</v>
          </cell>
          <cell r="C104">
            <v>20000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96"/>
  <sheetViews>
    <sheetView tabSelected="1" topLeftCell="A51" zoomScale="86" workbookViewId="0">
      <selection activeCell="A166" sqref="A166:D171"/>
    </sheetView>
  </sheetViews>
  <sheetFormatPr defaultColWidth="9.140625" defaultRowHeight="12.75"/>
  <cols>
    <col min="1" max="1" width="28.5703125" style="13" customWidth="1"/>
    <col min="2" max="2" width="20.7109375" style="13" bestFit="1" customWidth="1"/>
    <col min="3" max="3" width="13.7109375" style="13" customWidth="1"/>
    <col min="4" max="4" width="12.140625" style="13" bestFit="1" customWidth="1"/>
    <col min="5" max="5" width="17" style="13" bestFit="1" customWidth="1"/>
    <col min="6" max="16384" width="9.140625" style="13"/>
  </cols>
  <sheetData>
    <row r="1" spans="1:3" ht="15.75">
      <c r="A1" s="45" t="s">
        <v>57</v>
      </c>
      <c r="B1" s="45"/>
      <c r="C1" s="45"/>
    </row>
    <row r="4" spans="1:3">
      <c r="A4" s="33" t="s">
        <v>56</v>
      </c>
      <c r="B4" s="18">
        <v>2012</v>
      </c>
      <c r="C4" s="18">
        <v>2011</v>
      </c>
    </row>
    <row r="6" spans="1:3">
      <c r="A6" s="13" t="s">
        <v>55</v>
      </c>
      <c r="B6" s="31">
        <v>549870</v>
      </c>
      <c r="C6" s="31">
        <v>532505</v>
      </c>
    </row>
    <row r="7" spans="1:3">
      <c r="A7" s="13" t="s">
        <v>54</v>
      </c>
      <c r="B7" s="30">
        <v>366549</v>
      </c>
      <c r="C7" s="30">
        <v>366263</v>
      </c>
    </row>
    <row r="8" spans="1:3">
      <c r="A8" s="22" t="s">
        <v>53</v>
      </c>
      <c r="B8" s="31">
        <f>B6-B7</f>
        <v>183321</v>
      </c>
      <c r="C8" s="31">
        <f>C6-C7</f>
        <v>166242</v>
      </c>
    </row>
    <row r="9" spans="1:3">
      <c r="A9" s="16" t="s">
        <v>52</v>
      </c>
      <c r="B9" s="20">
        <v>113842</v>
      </c>
      <c r="C9" s="20">
        <v>108276</v>
      </c>
    </row>
    <row r="10" spans="1:3">
      <c r="A10" s="13" t="s">
        <v>62</v>
      </c>
      <c r="B10" s="26">
        <v>0</v>
      </c>
      <c r="C10" s="26">
        <v>0</v>
      </c>
    </row>
    <row r="11" spans="1:3">
      <c r="A11" s="16" t="s">
        <v>51</v>
      </c>
      <c r="B11" s="31">
        <v>74164</v>
      </c>
      <c r="C11" s="31">
        <v>60912</v>
      </c>
    </row>
    <row r="12" spans="1:3">
      <c r="A12" s="24" t="s">
        <v>8</v>
      </c>
      <c r="B12" s="32">
        <v>0</v>
      </c>
      <c r="C12" s="32">
        <v>0</v>
      </c>
    </row>
    <row r="13" spans="1:3">
      <c r="A13" s="22" t="s">
        <v>50</v>
      </c>
      <c r="B13" s="31">
        <f>B11+B12</f>
        <v>74164</v>
      </c>
      <c r="C13" s="31">
        <f>C11+C12</f>
        <v>60912</v>
      </c>
    </row>
    <row r="14" spans="1:3">
      <c r="A14" s="13" t="s">
        <v>49</v>
      </c>
      <c r="B14" s="30">
        <v>22160</v>
      </c>
      <c r="C14" s="30">
        <v>16974</v>
      </c>
    </row>
    <row r="15" spans="1:3">
      <c r="A15" s="18" t="s">
        <v>48</v>
      </c>
      <c r="B15" s="29">
        <f>B13-B14</f>
        <v>52004</v>
      </c>
      <c r="C15" s="29">
        <f>C13-C14</f>
        <v>43938</v>
      </c>
    </row>
    <row r="18" spans="1:3">
      <c r="A18" s="22" t="s">
        <v>47</v>
      </c>
      <c r="B18" s="18">
        <f>B4</f>
        <v>2012</v>
      </c>
      <c r="C18" s="28">
        <f>C4</f>
        <v>2011</v>
      </c>
    </row>
    <row r="20" spans="1:3">
      <c r="A20" s="18" t="s">
        <v>46</v>
      </c>
    </row>
    <row r="21" spans="1:3">
      <c r="A21" s="16" t="s">
        <v>45</v>
      </c>
      <c r="B21" s="25">
        <f>63862+18746</f>
        <v>82608</v>
      </c>
      <c r="C21" s="25">
        <f>78612+10895</f>
        <v>89507</v>
      </c>
    </row>
    <row r="22" spans="1:3">
      <c r="A22" s="13" t="s">
        <v>44</v>
      </c>
      <c r="B22" s="20">
        <v>42108</v>
      </c>
      <c r="C22" s="20">
        <v>41895</v>
      </c>
    </row>
    <row r="23" spans="1:3">
      <c r="A23" s="13" t="s">
        <v>11</v>
      </c>
      <c r="B23" s="20">
        <v>62383</v>
      </c>
      <c r="C23" s="20">
        <v>71760</v>
      </c>
    </row>
    <row r="24" spans="1:3">
      <c r="A24" s="24" t="s">
        <v>64</v>
      </c>
      <c r="B24" s="20">
        <f>4148+5528</f>
        <v>9676</v>
      </c>
      <c r="C24" s="20">
        <f>5070+3391</f>
        <v>8461</v>
      </c>
    </row>
    <row r="25" spans="1:3">
      <c r="A25" s="13" t="s">
        <v>43</v>
      </c>
      <c r="B25" s="26">
        <v>466</v>
      </c>
      <c r="C25" s="26">
        <v>578</v>
      </c>
    </row>
    <row r="26" spans="1:3">
      <c r="A26" s="22" t="s">
        <v>42</v>
      </c>
      <c r="B26" s="34">
        <f>SUM(B21:B25)</f>
        <v>197241</v>
      </c>
      <c r="C26" s="34">
        <f>SUM(C21:C25)</f>
        <v>212201</v>
      </c>
    </row>
    <row r="27" spans="1:3">
      <c r="A27" s="22"/>
      <c r="B27" s="25"/>
      <c r="C27" s="25"/>
    </row>
    <row r="28" spans="1:3">
      <c r="A28" s="16" t="s">
        <v>41</v>
      </c>
      <c r="B28" s="20">
        <v>463727</v>
      </c>
      <c r="C28" s="20">
        <v>455097</v>
      </c>
    </row>
    <row r="29" spans="1:3">
      <c r="A29" s="13" t="s">
        <v>40</v>
      </c>
      <c r="B29" s="27">
        <v>-262437</v>
      </c>
      <c r="C29" s="27">
        <v>-242935</v>
      </c>
    </row>
    <row r="30" spans="1:3">
      <c r="A30" s="22" t="s">
        <v>39</v>
      </c>
      <c r="B30" s="25">
        <f>SUM(B28:B29)</f>
        <v>201290</v>
      </c>
      <c r="C30" s="25">
        <f>SUM(C28:C29)</f>
        <v>212162</v>
      </c>
    </row>
    <row r="31" spans="1:3">
      <c r="A31" s="24" t="s">
        <v>38</v>
      </c>
      <c r="B31" s="20">
        <v>73237</v>
      </c>
      <c r="C31" s="20">
        <v>73237</v>
      </c>
    </row>
    <row r="32" spans="1:3">
      <c r="A32" s="24" t="s">
        <v>37</v>
      </c>
      <c r="B32" s="20">
        <v>175024</v>
      </c>
      <c r="C32" s="20">
        <v>175024</v>
      </c>
    </row>
    <row r="33" spans="1:3">
      <c r="A33" s="13" t="s">
        <v>36</v>
      </c>
      <c r="B33" s="20">
        <f>448206-73237-175024</f>
        <v>199945</v>
      </c>
      <c r="C33" s="20">
        <f>96161+74209+3212+3935+7715</f>
        <v>185232</v>
      </c>
    </row>
    <row r="34" spans="1:3">
      <c r="A34" s="18" t="s">
        <v>61</v>
      </c>
      <c r="B34" s="21">
        <f>B26+SUM(B30:B33)</f>
        <v>846737</v>
      </c>
      <c r="C34" s="21">
        <f>C26+SUM(C30:C33)</f>
        <v>857856</v>
      </c>
    </row>
    <row r="35" spans="1:3">
      <c r="B35" s="21"/>
      <c r="C35" s="21"/>
    </row>
    <row r="36" spans="1:3">
      <c r="A36" s="18" t="s">
        <v>35</v>
      </c>
    </row>
    <row r="37" spans="1:3">
      <c r="A37" s="13" t="s">
        <v>34</v>
      </c>
      <c r="B37" s="25">
        <v>8942</v>
      </c>
      <c r="C37" s="25">
        <v>10683</v>
      </c>
    </row>
    <row r="38" spans="1:3">
      <c r="A38" s="13" t="s">
        <v>33</v>
      </c>
      <c r="B38" s="20">
        <v>0</v>
      </c>
      <c r="C38" s="20">
        <v>4603</v>
      </c>
    </row>
    <row r="39" spans="1:3">
      <c r="A39" s="13" t="s">
        <v>32</v>
      </c>
      <c r="B39" s="26">
        <f>45150+555+6118</f>
        <v>51823</v>
      </c>
      <c r="C39" s="26">
        <f>43069+574</f>
        <v>43643</v>
      </c>
    </row>
    <row r="40" spans="1:3">
      <c r="A40" s="22" t="s">
        <v>31</v>
      </c>
      <c r="B40" s="25">
        <f>SUM(B37:B39)</f>
        <v>60765</v>
      </c>
      <c r="C40" s="25">
        <f>SUM(C37:C39)</f>
        <v>58929</v>
      </c>
    </row>
    <row r="41" spans="1:3">
      <c r="A41" s="16" t="s">
        <v>30</v>
      </c>
      <c r="B41" s="20">
        <v>38748</v>
      </c>
      <c r="C41" s="20">
        <v>43521</v>
      </c>
    </row>
    <row r="42" spans="1:3">
      <c r="A42" s="24" t="s">
        <v>29</v>
      </c>
      <c r="B42" s="26">
        <f>136157-38748</f>
        <v>97409</v>
      </c>
      <c r="C42" s="26">
        <f>132992-43521</f>
        <v>89471</v>
      </c>
    </row>
    <row r="43" spans="1:3">
      <c r="A43" s="22" t="s">
        <v>60</v>
      </c>
      <c r="B43" s="25">
        <f>SUM(B40:B42)</f>
        <v>196922</v>
      </c>
      <c r="C43" s="25">
        <f>SUM(C40:C42)</f>
        <v>191921</v>
      </c>
    </row>
    <row r="44" spans="1:3">
      <c r="A44" s="16"/>
      <c r="B44" s="25"/>
      <c r="C44" s="25"/>
    </row>
    <row r="45" spans="1:3">
      <c r="A45" s="24" t="s">
        <v>28</v>
      </c>
      <c r="B45" s="20">
        <v>25450</v>
      </c>
      <c r="C45" s="20">
        <v>25333</v>
      </c>
    </row>
    <row r="46" spans="1:3">
      <c r="A46" s="24" t="s">
        <v>63</v>
      </c>
      <c r="B46" s="20">
        <v>15018</v>
      </c>
      <c r="C46" s="20">
        <v>14601</v>
      </c>
    </row>
    <row r="47" spans="1:3">
      <c r="A47" s="24" t="s">
        <v>27</v>
      </c>
      <c r="B47" s="20">
        <v>547576</v>
      </c>
      <c r="C47" s="20">
        <v>533677</v>
      </c>
    </row>
    <row r="48" spans="1:3">
      <c r="A48" s="24" t="s">
        <v>26</v>
      </c>
      <c r="B48" s="20">
        <v>80210</v>
      </c>
      <c r="C48" s="20">
        <v>114269</v>
      </c>
    </row>
    <row r="49" spans="1:15">
      <c r="A49" s="24" t="s">
        <v>25</v>
      </c>
      <c r="B49" s="20">
        <f>-16447-1992</f>
        <v>-18439</v>
      </c>
      <c r="C49" s="20">
        <f>-1992-19953</f>
        <v>-21945</v>
      </c>
    </row>
    <row r="50" spans="1:15">
      <c r="A50" s="22" t="s">
        <v>59</v>
      </c>
      <c r="B50" s="23">
        <f>SUM(B45:B49)</f>
        <v>649815</v>
      </c>
      <c r="C50" s="23">
        <f>SUM(C45:C49)</f>
        <v>665935</v>
      </c>
    </row>
    <row r="51" spans="1:15">
      <c r="A51" s="22" t="s">
        <v>58</v>
      </c>
      <c r="B51" s="21">
        <f>B43+B50</f>
        <v>846737</v>
      </c>
      <c r="C51" s="21">
        <f>C43+C50</f>
        <v>857856</v>
      </c>
    </row>
    <row r="52" spans="1:15">
      <c r="A52" s="14"/>
      <c r="B52" s="14"/>
      <c r="C52" s="14"/>
    </row>
    <row r="53" spans="1:15">
      <c r="B53" s="20"/>
      <c r="C53" s="20"/>
    </row>
    <row r="54" spans="1:15">
      <c r="C54" s="20"/>
    </row>
    <row r="55" spans="1:15">
      <c r="A55" s="19"/>
      <c r="B55" s="18"/>
      <c r="C55" s="18"/>
    </row>
    <row r="56" spans="1:15">
      <c r="A56" s="17"/>
      <c r="B56" s="15"/>
      <c r="C56" s="15"/>
    </row>
    <row r="57" spans="1:15">
      <c r="A57"/>
      <c r="B57"/>
      <c r="C57"/>
      <c r="D57"/>
      <c r="E57"/>
      <c r="F57"/>
      <c r="G57"/>
      <c r="H57"/>
      <c r="I57"/>
      <c r="J57"/>
      <c r="K57"/>
      <c r="L57"/>
      <c r="M57"/>
      <c r="N57"/>
      <c r="O57"/>
    </row>
    <row r="58" spans="1:15">
      <c r="A58"/>
      <c r="B58"/>
      <c r="C58"/>
      <c r="D58"/>
      <c r="E58"/>
      <c r="F58"/>
      <c r="G58"/>
      <c r="H58"/>
      <c r="I58"/>
      <c r="J58"/>
      <c r="K58"/>
      <c r="L58"/>
      <c r="M58"/>
      <c r="N58"/>
      <c r="O58"/>
    </row>
    <row r="59" spans="1:15">
      <c r="A59" s="11" t="s">
        <v>66</v>
      </c>
      <c r="B59" t="s">
        <v>66</v>
      </c>
      <c r="C59"/>
      <c r="D59"/>
      <c r="E59"/>
      <c r="F59"/>
      <c r="G59"/>
      <c r="H59"/>
      <c r="I59"/>
      <c r="J59"/>
      <c r="K59"/>
      <c r="L59"/>
      <c r="M59"/>
      <c r="N59"/>
      <c r="O59"/>
    </row>
    <row r="60" spans="1:15">
      <c r="A60"/>
      <c r="B60"/>
      <c r="C60"/>
      <c r="D60"/>
      <c r="E60"/>
      <c r="F60"/>
      <c r="G60"/>
      <c r="H60"/>
      <c r="I60"/>
      <c r="J60"/>
      <c r="K60"/>
      <c r="L60"/>
      <c r="M60"/>
      <c r="N60"/>
      <c r="O60"/>
    </row>
    <row r="61" spans="1:15">
      <c r="A61"/>
      <c r="B61"/>
      <c r="C61"/>
      <c r="D61"/>
      <c r="E61"/>
      <c r="F61"/>
      <c r="G61"/>
      <c r="H61"/>
      <c r="I61"/>
      <c r="J61"/>
      <c r="K61"/>
      <c r="L61"/>
      <c r="M61"/>
      <c r="N61"/>
      <c r="O61"/>
    </row>
    <row r="62" spans="1:15">
      <c r="A62" s="2" t="s">
        <v>0</v>
      </c>
      <c r="B62" s="37" t="s">
        <v>1</v>
      </c>
      <c r="C62" s="38" t="s">
        <v>3</v>
      </c>
      <c r="D62" s="1" t="s">
        <v>5</v>
      </c>
      <c r="E62" s="1" t="s">
        <v>4</v>
      </c>
      <c r="F62"/>
      <c r="G62"/>
      <c r="H62"/>
      <c r="I62"/>
      <c r="J62"/>
      <c r="K62"/>
      <c r="L62"/>
      <c r="M62"/>
      <c r="N62"/>
      <c r="O62"/>
    </row>
    <row r="63" spans="1:15">
      <c r="A63" s="9"/>
      <c r="B63"/>
      <c r="C63"/>
      <c r="D63"/>
      <c r="E63"/>
      <c r="F63"/>
      <c r="G63"/>
      <c r="H63"/>
      <c r="I63"/>
      <c r="J63"/>
      <c r="K63"/>
      <c r="L63"/>
      <c r="M63"/>
      <c r="N63"/>
      <c r="O63"/>
    </row>
    <row r="64" spans="1:15">
      <c r="A64" s="9">
        <v>2020</v>
      </c>
      <c r="B64" s="3">
        <v>471063</v>
      </c>
      <c r="C64" s="39">
        <v>58995</v>
      </c>
      <c r="D64"/>
      <c r="E64"/>
      <c r="F64"/>
      <c r="G64"/>
      <c r="H64"/>
      <c r="I64"/>
      <c r="J64"/>
      <c r="K64"/>
      <c r="L64"/>
      <c r="M64"/>
      <c r="N64"/>
      <c r="O64"/>
    </row>
    <row r="65" spans="1:15">
      <c r="A65" s="9">
        <v>2021</v>
      </c>
      <c r="B65" s="3">
        <v>570776</v>
      </c>
      <c r="C65" s="39">
        <v>65326</v>
      </c>
      <c r="D65" s="4">
        <f>(B65/B64)-1</f>
        <v>0.21167656980064242</v>
      </c>
      <c r="E65" s="4">
        <f t="shared" ref="E65:E67" si="0">(C65/C64)-1</f>
        <v>0.10731417916772612</v>
      </c>
      <c r="F65"/>
      <c r="G65"/>
      <c r="H65"/>
      <c r="I65"/>
      <c r="J65"/>
      <c r="K65"/>
      <c r="L65"/>
      <c r="M65"/>
      <c r="N65"/>
      <c r="O65"/>
    </row>
    <row r="66" spans="1:15">
      <c r="A66" s="9">
        <v>2022</v>
      </c>
      <c r="B66" s="3">
        <v>686970</v>
      </c>
      <c r="C66" s="39">
        <v>75937</v>
      </c>
      <c r="D66" s="4">
        <f t="shared" ref="D66:D67" si="1">(B66/B65)-1</f>
        <v>0.20357197920024661</v>
      </c>
      <c r="E66" s="4">
        <f t="shared" si="0"/>
        <v>0.16243149741297502</v>
      </c>
      <c r="F66"/>
      <c r="G66"/>
      <c r="H66"/>
      <c r="I66"/>
      <c r="J66"/>
      <c r="K66"/>
      <c r="L66"/>
      <c r="M66"/>
      <c r="N66"/>
      <c r="O66"/>
    </row>
    <row r="67" spans="1:15">
      <c r="A67" s="9">
        <v>2023</v>
      </c>
      <c r="B67" s="3">
        <v>769365</v>
      </c>
      <c r="C67" s="39">
        <v>91912</v>
      </c>
      <c r="D67" s="4">
        <f t="shared" si="1"/>
        <v>0.11993973535962277</v>
      </c>
      <c r="E67" s="4">
        <f t="shared" si="0"/>
        <v>0.21037175553419285</v>
      </c>
      <c r="F67"/>
      <c r="G67"/>
      <c r="H67"/>
      <c r="I67"/>
      <c r="J67"/>
      <c r="K67"/>
      <c r="L67"/>
      <c r="M67"/>
      <c r="N67"/>
      <c r="O67"/>
    </row>
    <row r="68" spans="1:15">
      <c r="A68"/>
      <c r="B68"/>
      <c r="C68"/>
      <c r="D68"/>
      <c r="E68"/>
      <c r="F68"/>
      <c r="G68"/>
      <c r="H68"/>
      <c r="I68"/>
      <c r="J68"/>
      <c r="K68"/>
      <c r="L68"/>
      <c r="M68"/>
      <c r="N68"/>
      <c r="O68"/>
    </row>
    <row r="69" spans="1:15">
      <c r="A69"/>
      <c r="B69" s="1" t="s">
        <v>2</v>
      </c>
      <c r="C69" s="1"/>
      <c r="D69" s="5">
        <f>AVERAGE(D65:D67)</f>
        <v>0.17839609478683727</v>
      </c>
      <c r="E69" s="5">
        <f>AVERAGE(E65:E67)</f>
        <v>0.160039144038298</v>
      </c>
      <c r="F69"/>
      <c r="G69"/>
      <c r="H69"/>
      <c r="I69"/>
      <c r="J69"/>
      <c r="K69"/>
      <c r="L69"/>
      <c r="M69"/>
      <c r="N69"/>
      <c r="O69"/>
    </row>
    <row r="70" spans="1:15">
      <c r="A70"/>
      <c r="B70"/>
      <c r="C70"/>
      <c r="D70"/>
      <c r="E70"/>
      <c r="F70"/>
      <c r="G70"/>
      <c r="H70"/>
      <c r="I70"/>
      <c r="J70"/>
      <c r="K70"/>
      <c r="L70"/>
      <c r="M70"/>
      <c r="N70"/>
      <c r="O70"/>
    </row>
    <row r="71" spans="1:15">
      <c r="A71"/>
      <c r="B71"/>
      <c r="C71"/>
      <c r="D71"/>
      <c r="E71"/>
      <c r="F71"/>
      <c r="G71"/>
      <c r="H71"/>
      <c r="I71"/>
      <c r="J71"/>
      <c r="K71"/>
      <c r="L71"/>
      <c r="M71"/>
      <c r="N71"/>
      <c r="O71"/>
    </row>
    <row r="72" spans="1:15">
      <c r="A72"/>
      <c r="B72"/>
      <c r="C72"/>
      <c r="D72"/>
      <c r="E72"/>
      <c r="F72"/>
      <c r="G72"/>
      <c r="H72"/>
      <c r="I72"/>
      <c r="J72"/>
      <c r="K72"/>
      <c r="L72"/>
      <c r="M72"/>
      <c r="N72"/>
      <c r="O72"/>
    </row>
    <row r="73" spans="1:15">
      <c r="A73"/>
      <c r="B73"/>
      <c r="C73"/>
      <c r="D73"/>
      <c r="E73"/>
      <c r="F73"/>
      <c r="G73"/>
      <c r="H73"/>
      <c r="I73"/>
      <c r="J73"/>
      <c r="K73"/>
      <c r="L73"/>
      <c r="M73"/>
      <c r="N73"/>
      <c r="O73"/>
    </row>
    <row r="74" spans="1:15">
      <c r="A74"/>
      <c r="B74"/>
      <c r="C74"/>
      <c r="D74"/>
      <c r="E74"/>
      <c r="F74"/>
      <c r="G74"/>
      <c r="H74"/>
      <c r="I74"/>
      <c r="J74"/>
      <c r="K74"/>
      <c r="L74"/>
      <c r="M74"/>
      <c r="N74"/>
      <c r="O74"/>
    </row>
    <row r="75" spans="1:15">
      <c r="A75"/>
      <c r="B75"/>
      <c r="C75"/>
      <c r="D75"/>
      <c r="E75"/>
      <c r="F75"/>
      <c r="G75"/>
      <c r="H75"/>
      <c r="I75"/>
      <c r="J75"/>
      <c r="K75"/>
      <c r="L75"/>
      <c r="M75"/>
      <c r="N75"/>
      <c r="O75"/>
    </row>
    <row r="76" spans="1:15">
      <c r="A76"/>
      <c r="B76"/>
      <c r="C76"/>
      <c r="D76"/>
      <c r="E76"/>
      <c r="F76"/>
      <c r="G76"/>
      <c r="H76"/>
      <c r="I76"/>
      <c r="J76"/>
      <c r="K76"/>
      <c r="L76"/>
      <c r="M76"/>
      <c r="N76"/>
      <c r="O76"/>
    </row>
    <row r="77" spans="1:15">
      <c r="A77"/>
      <c r="B77"/>
      <c r="C77"/>
      <c r="D77"/>
      <c r="E77"/>
      <c r="F77"/>
      <c r="G77"/>
      <c r="H77"/>
      <c r="I77"/>
      <c r="J77"/>
      <c r="K77"/>
      <c r="L77"/>
      <c r="M77"/>
      <c r="N77"/>
      <c r="O77"/>
    </row>
    <row r="78" spans="1:15">
      <c r="A78"/>
      <c r="B78"/>
      <c r="C78"/>
      <c r="D78"/>
      <c r="E78"/>
      <c r="F78"/>
      <c r="G78"/>
      <c r="H78"/>
      <c r="I78"/>
      <c r="J78"/>
      <c r="K78"/>
      <c r="L78"/>
      <c r="M78"/>
      <c r="N78"/>
      <c r="O78"/>
    </row>
    <row r="79" spans="1:15">
      <c r="A79"/>
      <c r="B79"/>
      <c r="C79"/>
      <c r="D79"/>
      <c r="E79"/>
      <c r="F79"/>
      <c r="G79"/>
      <c r="H79"/>
      <c r="I79"/>
      <c r="J79"/>
      <c r="K79"/>
      <c r="L79"/>
      <c r="M79"/>
      <c r="N79"/>
      <c r="O79"/>
    </row>
    <row r="80" spans="1:15">
      <c r="A80"/>
      <c r="B80"/>
      <c r="C80"/>
      <c r="D80"/>
      <c r="E80"/>
      <c r="F80"/>
      <c r="G80"/>
      <c r="H80"/>
      <c r="I80"/>
      <c r="J80"/>
      <c r="K80"/>
      <c r="L80"/>
      <c r="M80"/>
      <c r="N80"/>
      <c r="O80"/>
    </row>
    <row r="81" spans="1:16">
      <c r="A81"/>
      <c r="B81"/>
      <c r="C81"/>
      <c r="D81"/>
      <c r="E81"/>
      <c r="F81"/>
      <c r="G81"/>
      <c r="H81"/>
      <c r="I81"/>
      <c r="J81"/>
      <c r="K81"/>
      <c r="L81"/>
      <c r="M81"/>
      <c r="N81"/>
      <c r="O81"/>
    </row>
    <row r="82" spans="1:16">
      <c r="A82"/>
      <c r="B82"/>
      <c r="C82"/>
      <c r="D82"/>
      <c r="E82"/>
      <c r="F82"/>
      <c r="G82"/>
      <c r="H82"/>
      <c r="I82"/>
      <c r="J82"/>
      <c r="K82"/>
      <c r="L82"/>
      <c r="M82"/>
      <c r="N82"/>
      <c r="O82"/>
    </row>
    <row r="83" spans="1:16">
      <c r="A83"/>
      <c r="B83"/>
      <c r="C83"/>
      <c r="D83"/>
      <c r="E83"/>
      <c r="F83"/>
      <c r="G83"/>
      <c r="H83"/>
      <c r="I83"/>
      <c r="J83"/>
      <c r="K83"/>
      <c r="L83"/>
      <c r="M83"/>
      <c r="N83"/>
      <c r="O83"/>
    </row>
    <row r="84" spans="1:16">
      <c r="A84"/>
      <c r="B84"/>
      <c r="C84"/>
      <c r="D84"/>
      <c r="E84"/>
      <c r="F84"/>
      <c r="G84"/>
      <c r="H84"/>
      <c r="I84"/>
      <c r="J84"/>
      <c r="K84"/>
      <c r="L84"/>
      <c r="M84"/>
      <c r="N84"/>
      <c r="O84"/>
    </row>
    <row r="85" spans="1:16">
      <c r="A85"/>
      <c r="B85"/>
      <c r="C85"/>
      <c r="D85"/>
      <c r="E85"/>
      <c r="F85"/>
      <c r="G85"/>
      <c r="H85"/>
      <c r="I85"/>
      <c r="J85"/>
      <c r="K85"/>
      <c r="L85"/>
      <c r="M85"/>
      <c r="N85"/>
      <c r="O85"/>
    </row>
    <row r="86" spans="1:16">
      <c r="A86"/>
      <c r="B86"/>
      <c r="C86"/>
      <c r="D86"/>
      <c r="E86"/>
      <c r="F86"/>
      <c r="G86"/>
      <c r="H86"/>
      <c r="I86"/>
      <c r="J86"/>
      <c r="K86"/>
      <c r="L86"/>
      <c r="M86"/>
      <c r="N86"/>
      <c r="O86"/>
    </row>
    <row r="92" spans="1:16">
      <c r="A92"/>
      <c r="B92"/>
      <c r="C92"/>
      <c r="D92"/>
      <c r="E92"/>
      <c r="F92"/>
      <c r="G92"/>
      <c r="H92"/>
      <c r="I92"/>
      <c r="J92"/>
      <c r="K92"/>
      <c r="L92"/>
      <c r="M92"/>
      <c r="N92"/>
      <c r="O92"/>
      <c r="P92"/>
    </row>
    <row r="93" spans="1:16">
      <c r="A93" s="11" t="s">
        <v>66</v>
      </c>
      <c r="B93"/>
      <c r="C93"/>
      <c r="D93"/>
      <c r="E93"/>
      <c r="F93"/>
      <c r="G93"/>
      <c r="H93"/>
      <c r="I93"/>
      <c r="J93"/>
      <c r="K93"/>
      <c r="L93"/>
      <c r="M93"/>
      <c r="N93"/>
      <c r="O93"/>
      <c r="P93"/>
    </row>
    <row r="94" spans="1:16">
      <c r="A94"/>
      <c r="B94"/>
      <c r="C94"/>
      <c r="D94"/>
      <c r="E94"/>
      <c r="F94"/>
      <c r="G94"/>
      <c r="H94"/>
      <c r="I94"/>
      <c r="J94"/>
      <c r="K94"/>
      <c r="L94"/>
      <c r="M94"/>
      <c r="N94"/>
      <c r="O94"/>
      <c r="P94"/>
    </row>
    <row r="95" spans="1:16">
      <c r="A95" s="2" t="s">
        <v>110</v>
      </c>
      <c r="B95"/>
      <c r="C95" s="3">
        <v>512525</v>
      </c>
      <c r="D95" s="7">
        <f>C95/C99</f>
        <v>0.78142867162080987</v>
      </c>
      <c r="F95"/>
      <c r="G95"/>
      <c r="H95"/>
      <c r="I95"/>
      <c r="J95"/>
      <c r="K95"/>
      <c r="L95"/>
      <c r="M95"/>
      <c r="N95"/>
      <c r="O95"/>
      <c r="P95"/>
    </row>
    <row r="96" spans="1:16">
      <c r="A96" s="2" t="s">
        <v>111</v>
      </c>
      <c r="B96"/>
      <c r="C96" s="3">
        <v>115012</v>
      </c>
      <c r="D96" s="7">
        <f>C96/C99</f>
        <v>0.17535471319536136</v>
      </c>
      <c r="F96"/>
      <c r="G96"/>
      <c r="H96"/>
      <c r="I96"/>
      <c r="J96"/>
      <c r="K96"/>
      <c r="L96"/>
      <c r="M96"/>
      <c r="N96"/>
      <c r="O96"/>
      <c r="P96"/>
    </row>
    <row r="97" spans="1:16">
      <c r="A97" s="2" t="s">
        <v>8</v>
      </c>
      <c r="B97"/>
      <c r="C97" s="3">
        <v>337</v>
      </c>
      <c r="D97" s="7">
        <f>C97/C99</f>
        <v>5.1381193568355286E-4</v>
      </c>
      <c r="F97"/>
      <c r="G97"/>
      <c r="H97"/>
      <c r="I97"/>
      <c r="J97"/>
      <c r="K97"/>
      <c r="L97"/>
      <c r="M97"/>
      <c r="N97"/>
      <c r="O97"/>
      <c r="P97"/>
    </row>
    <row r="98" spans="1:16">
      <c r="A98" s="2" t="s">
        <v>9</v>
      </c>
      <c r="B98"/>
      <c r="C98" s="6">
        <v>28008</v>
      </c>
      <c r="D98" s="7">
        <f>C98/C99</f>
        <v>4.2702803248145245E-2</v>
      </c>
      <c r="F98"/>
      <c r="G98"/>
      <c r="H98"/>
      <c r="I98"/>
      <c r="J98"/>
      <c r="K98"/>
      <c r="L98"/>
      <c r="M98"/>
      <c r="N98"/>
      <c r="O98"/>
      <c r="P98"/>
    </row>
    <row r="99" spans="1:16">
      <c r="A99"/>
      <c r="B99" s="1" t="s">
        <v>6</v>
      </c>
      <c r="C99" s="3">
        <f>SUM(C95:C98)</f>
        <v>655882</v>
      </c>
      <c r="D99" s="7">
        <f>SUM(D95:D98)</f>
        <v>1</v>
      </c>
      <c r="F99"/>
      <c r="G99"/>
      <c r="H99"/>
      <c r="I99"/>
      <c r="J99"/>
      <c r="K99"/>
      <c r="L99"/>
      <c r="M99"/>
      <c r="N99"/>
      <c r="O99"/>
      <c r="P99"/>
    </row>
    <row r="100" spans="1:16">
      <c r="A100"/>
      <c r="B100"/>
      <c r="C100"/>
      <c r="D100"/>
      <c r="F100"/>
      <c r="G100"/>
      <c r="H100"/>
      <c r="I100"/>
      <c r="J100"/>
      <c r="K100"/>
      <c r="L100"/>
      <c r="M100"/>
      <c r="N100"/>
      <c r="O100"/>
      <c r="P100"/>
    </row>
    <row r="101" spans="1:16">
      <c r="A101"/>
      <c r="B101"/>
      <c r="C101"/>
      <c r="D101"/>
      <c r="F101"/>
      <c r="G101"/>
      <c r="H101"/>
      <c r="I101"/>
      <c r="J101"/>
      <c r="K101"/>
      <c r="L101"/>
      <c r="M101"/>
      <c r="N101"/>
      <c r="O101"/>
      <c r="P101"/>
    </row>
    <row r="102" spans="1:16">
      <c r="A102" s="2" t="s">
        <v>24</v>
      </c>
      <c r="B102"/>
      <c r="C102"/>
      <c r="D102"/>
      <c r="F102"/>
      <c r="G102"/>
      <c r="H102"/>
      <c r="I102"/>
      <c r="J102"/>
      <c r="K102"/>
      <c r="L102"/>
      <c r="M102"/>
      <c r="N102"/>
      <c r="O102"/>
      <c r="P102"/>
    </row>
    <row r="103" spans="1:16">
      <c r="A103"/>
      <c r="B103" s="1" t="s">
        <v>21</v>
      </c>
      <c r="C103" s="3">
        <v>28008</v>
      </c>
      <c r="D103"/>
      <c r="F103"/>
      <c r="G103"/>
      <c r="H103"/>
      <c r="I103"/>
      <c r="J103"/>
      <c r="K103"/>
      <c r="L103"/>
      <c r="M103"/>
      <c r="N103"/>
      <c r="O103"/>
      <c r="P103"/>
    </row>
    <row r="104" spans="1:16">
      <c r="A104"/>
      <c r="B104" s="1" t="s">
        <v>22</v>
      </c>
      <c r="C104" s="6">
        <v>119894</v>
      </c>
      <c r="D104"/>
      <c r="F104"/>
      <c r="G104"/>
      <c r="H104"/>
      <c r="I104"/>
      <c r="J104"/>
      <c r="K104"/>
      <c r="L104"/>
      <c r="M104"/>
      <c r="N104"/>
      <c r="O104"/>
      <c r="P104"/>
    </row>
    <row r="105" spans="1:16">
      <c r="A105"/>
      <c r="B105" s="1" t="s">
        <v>23</v>
      </c>
      <c r="C105" s="12">
        <f>C103/C104</f>
        <v>0.23360635227784543</v>
      </c>
      <c r="D105"/>
      <c r="F105"/>
      <c r="G105"/>
      <c r="H105"/>
      <c r="I105"/>
      <c r="J105"/>
      <c r="K105"/>
      <c r="L105"/>
      <c r="M105"/>
      <c r="N105"/>
      <c r="O105"/>
      <c r="P105"/>
    </row>
    <row r="106" spans="1:16">
      <c r="A106"/>
      <c r="B106"/>
      <c r="C106"/>
      <c r="D106"/>
      <c r="E106"/>
      <c r="F106"/>
      <c r="G106"/>
      <c r="H106"/>
      <c r="I106"/>
      <c r="J106"/>
      <c r="K106"/>
      <c r="L106"/>
      <c r="M106"/>
      <c r="N106"/>
      <c r="O106"/>
      <c r="P106"/>
    </row>
    <row r="107" spans="1:16">
      <c r="A107"/>
      <c r="B107"/>
      <c r="C107"/>
      <c r="D107"/>
      <c r="E107"/>
      <c r="F107"/>
      <c r="G107"/>
      <c r="H107"/>
      <c r="I107"/>
      <c r="J107"/>
      <c r="K107"/>
      <c r="L107"/>
      <c r="M107"/>
      <c r="N107"/>
      <c r="O107"/>
      <c r="P107"/>
    </row>
    <row r="108" spans="1:16">
      <c r="A108"/>
      <c r="B108"/>
      <c r="C108"/>
      <c r="D108"/>
      <c r="E108"/>
      <c r="F108"/>
      <c r="G108"/>
      <c r="H108"/>
      <c r="I108"/>
      <c r="J108"/>
      <c r="K108"/>
      <c r="L108"/>
      <c r="M108"/>
      <c r="N108"/>
      <c r="O108"/>
      <c r="P108"/>
    </row>
    <row r="109" spans="1:16">
      <c r="A109"/>
      <c r="B109"/>
      <c r="C109"/>
      <c r="D109"/>
      <c r="E109"/>
      <c r="F109"/>
      <c r="G109"/>
      <c r="H109"/>
      <c r="I109"/>
      <c r="J109"/>
      <c r="K109"/>
      <c r="L109"/>
      <c r="M109"/>
      <c r="N109"/>
      <c r="O109"/>
      <c r="P109"/>
    </row>
    <row r="110" spans="1:16">
      <c r="A110"/>
      <c r="B110"/>
      <c r="C110"/>
      <c r="D110"/>
      <c r="E110"/>
      <c r="F110"/>
      <c r="G110"/>
      <c r="H110"/>
      <c r="I110"/>
      <c r="J110"/>
      <c r="K110"/>
      <c r="L110"/>
      <c r="M110"/>
      <c r="N110"/>
      <c r="O110"/>
      <c r="P110"/>
    </row>
    <row r="111" spans="1:16">
      <c r="A111"/>
      <c r="B111"/>
      <c r="C111"/>
      <c r="D111"/>
      <c r="E111"/>
      <c r="F111"/>
      <c r="G111"/>
      <c r="H111"/>
      <c r="I111"/>
      <c r="J111"/>
      <c r="K111"/>
      <c r="L111"/>
      <c r="M111"/>
      <c r="N111"/>
      <c r="O111"/>
      <c r="P111"/>
    </row>
    <row r="112" spans="1:16">
      <c r="A112"/>
      <c r="B112"/>
      <c r="C112"/>
      <c r="D112"/>
      <c r="E112"/>
      <c r="F112"/>
      <c r="G112"/>
      <c r="H112"/>
      <c r="I112"/>
      <c r="J112"/>
      <c r="K112"/>
      <c r="L112"/>
      <c r="M112"/>
      <c r="N112"/>
      <c r="O112"/>
      <c r="P112"/>
    </row>
    <row r="113" spans="1:16">
      <c r="A113"/>
      <c r="B113"/>
      <c r="C113"/>
      <c r="D113"/>
      <c r="E113"/>
      <c r="F113"/>
      <c r="G113"/>
      <c r="H113"/>
      <c r="I113"/>
      <c r="J113"/>
      <c r="K113"/>
      <c r="L113"/>
      <c r="M113"/>
      <c r="N113"/>
      <c r="O113"/>
      <c r="P113"/>
    </row>
    <row r="114" spans="1:16">
      <c r="A114"/>
      <c r="B114"/>
      <c r="C114"/>
      <c r="D114"/>
      <c r="E114"/>
      <c r="F114"/>
      <c r="G114"/>
      <c r="H114"/>
      <c r="I114"/>
      <c r="J114"/>
      <c r="K114"/>
      <c r="L114"/>
      <c r="M114"/>
      <c r="N114"/>
      <c r="O114"/>
      <c r="P114"/>
    </row>
    <row r="115" spans="1:16">
      <c r="A115"/>
      <c r="B115"/>
      <c r="C115"/>
      <c r="D115"/>
      <c r="E115"/>
      <c r="F115"/>
      <c r="G115"/>
      <c r="H115"/>
      <c r="I115"/>
      <c r="J115"/>
      <c r="K115"/>
      <c r="L115"/>
      <c r="M115"/>
      <c r="N115"/>
      <c r="O115"/>
      <c r="P115"/>
    </row>
    <row r="116" spans="1:16">
      <c r="A116"/>
      <c r="B116"/>
      <c r="C116"/>
      <c r="D116"/>
      <c r="E116"/>
      <c r="F116"/>
      <c r="G116"/>
      <c r="H116"/>
      <c r="I116"/>
      <c r="J116"/>
      <c r="K116"/>
      <c r="L116"/>
      <c r="M116"/>
      <c r="N116"/>
      <c r="O116"/>
      <c r="P116"/>
    </row>
    <row r="117" spans="1:16">
      <c r="A117"/>
      <c r="B117"/>
      <c r="C117"/>
      <c r="D117"/>
      <c r="E117"/>
      <c r="F117"/>
      <c r="G117"/>
      <c r="H117"/>
      <c r="I117"/>
      <c r="J117"/>
      <c r="K117"/>
      <c r="L117"/>
      <c r="M117"/>
      <c r="N117"/>
      <c r="O117"/>
      <c r="P117"/>
    </row>
    <row r="118" spans="1:16">
      <c r="A118"/>
      <c r="B118"/>
      <c r="C118"/>
      <c r="D118"/>
      <c r="E118"/>
      <c r="F118"/>
      <c r="G118"/>
      <c r="H118"/>
      <c r="I118"/>
      <c r="J118"/>
      <c r="K118"/>
      <c r="L118"/>
      <c r="M118"/>
      <c r="N118"/>
      <c r="O118"/>
      <c r="P118"/>
    </row>
    <row r="119" spans="1:16">
      <c r="A119"/>
      <c r="B119"/>
      <c r="C119"/>
      <c r="D119"/>
      <c r="E119"/>
      <c r="F119"/>
      <c r="G119"/>
      <c r="H119"/>
      <c r="I119"/>
      <c r="J119"/>
      <c r="K119"/>
      <c r="L119"/>
      <c r="M119"/>
      <c r="N119"/>
      <c r="O119"/>
      <c r="P119"/>
    </row>
    <row r="127" spans="1:16">
      <c r="A127"/>
      <c r="B127"/>
      <c r="C127"/>
      <c r="D127"/>
      <c r="E127"/>
      <c r="F127"/>
      <c r="G127"/>
      <c r="H127"/>
      <c r="I127"/>
      <c r="J127"/>
      <c r="K127"/>
      <c r="L127"/>
      <c r="M127"/>
    </row>
    <row r="128" spans="1:16">
      <c r="A128"/>
      <c r="B128"/>
      <c r="C128"/>
      <c r="D128"/>
      <c r="E128"/>
      <c r="F128"/>
      <c r="G128"/>
      <c r="H128"/>
      <c r="I128"/>
      <c r="J128"/>
      <c r="K128"/>
      <c r="L128"/>
      <c r="M128"/>
    </row>
    <row r="129" spans="1:13">
      <c r="A129" s="2" t="s">
        <v>18</v>
      </c>
      <c r="B129"/>
      <c r="C129" s="3">
        <v>76290</v>
      </c>
      <c r="D129" s="7">
        <f>C129/$C$133</f>
        <v>0.16962493079596316</v>
      </c>
      <c r="E129"/>
      <c r="F129"/>
      <c r="G129"/>
      <c r="H129"/>
      <c r="I129"/>
      <c r="J129"/>
      <c r="K129"/>
      <c r="L129"/>
      <c r="M129"/>
    </row>
    <row r="130" spans="1:13">
      <c r="A130" s="9" t="s">
        <v>10</v>
      </c>
      <c r="B130"/>
      <c r="C130" s="3">
        <v>55568</v>
      </c>
      <c r="D130" s="7">
        <f>C130/$C$133</f>
        <v>0.1235511620719633</v>
      </c>
      <c r="E130"/>
      <c r="F130"/>
      <c r="G130"/>
      <c r="H130"/>
      <c r="I130"/>
      <c r="J130"/>
      <c r="K130"/>
      <c r="L130"/>
      <c r="M130"/>
    </row>
    <row r="131" spans="1:13">
      <c r="A131" s="9" t="s">
        <v>11</v>
      </c>
      <c r="B131"/>
      <c r="C131" s="3">
        <v>94921</v>
      </c>
      <c r="D131" s="7">
        <f>C131/$C$133</f>
        <v>0.21104952229759627</v>
      </c>
      <c r="E131"/>
      <c r="F131"/>
      <c r="G131"/>
      <c r="H131"/>
      <c r="I131"/>
      <c r="J131"/>
      <c r="K131"/>
      <c r="L131"/>
      <c r="M131"/>
    </row>
    <row r="132" spans="1:13">
      <c r="A132" s="2" t="s">
        <v>19</v>
      </c>
      <c r="B132"/>
      <c r="C132" s="6">
        <v>222978</v>
      </c>
      <c r="D132" s="7">
        <f>C132/$C$133</f>
        <v>0.49577438483447728</v>
      </c>
      <c r="E132"/>
      <c r="F132"/>
      <c r="G132"/>
      <c r="H132"/>
      <c r="I132"/>
      <c r="J132"/>
      <c r="K132"/>
      <c r="L132"/>
      <c r="M132"/>
    </row>
    <row r="133" spans="1:13">
      <c r="A133"/>
      <c r="B133" s="35" t="s">
        <v>6</v>
      </c>
      <c r="C133" s="36">
        <f>SUM(C129:C132)</f>
        <v>449757</v>
      </c>
      <c r="D133" s="7">
        <f>C133/$C$133</f>
        <v>1</v>
      </c>
      <c r="E133"/>
      <c r="F133"/>
      <c r="G133"/>
      <c r="H133"/>
      <c r="I133"/>
      <c r="J133"/>
      <c r="K133"/>
      <c r="L133"/>
      <c r="M133"/>
    </row>
    <row r="134" spans="1:13">
      <c r="A134"/>
      <c r="B134"/>
      <c r="C134"/>
      <c r="D134"/>
      <c r="E134"/>
      <c r="F134"/>
      <c r="G134"/>
      <c r="H134"/>
      <c r="I134"/>
      <c r="J134"/>
      <c r="K134"/>
      <c r="L134"/>
      <c r="M134"/>
    </row>
    <row r="135" spans="1:13">
      <c r="A135"/>
      <c r="B135"/>
      <c r="C135"/>
      <c r="D135"/>
      <c r="E135"/>
      <c r="F135"/>
      <c r="G135"/>
      <c r="H135"/>
      <c r="I135"/>
      <c r="J135"/>
      <c r="K135"/>
      <c r="L135"/>
      <c r="M135"/>
    </row>
    <row r="136" spans="1:13">
      <c r="A136"/>
      <c r="B136"/>
      <c r="C136"/>
      <c r="D136"/>
      <c r="E136"/>
      <c r="F136"/>
      <c r="G136"/>
      <c r="H136"/>
      <c r="I136"/>
      <c r="J136"/>
      <c r="K136"/>
      <c r="L136"/>
      <c r="M136"/>
    </row>
    <row r="137" spans="1:13">
      <c r="A137"/>
      <c r="B137"/>
      <c r="C137"/>
      <c r="D137"/>
      <c r="E137"/>
      <c r="F137"/>
      <c r="G137"/>
      <c r="H137"/>
      <c r="I137"/>
      <c r="J137"/>
      <c r="K137"/>
      <c r="L137"/>
      <c r="M137"/>
    </row>
    <row r="138" spans="1:13">
      <c r="A138"/>
      <c r="B138"/>
      <c r="C138"/>
      <c r="D138"/>
      <c r="E138"/>
      <c r="F138"/>
      <c r="G138"/>
      <c r="H138"/>
      <c r="I138"/>
      <c r="J138"/>
      <c r="K138"/>
      <c r="L138"/>
      <c r="M138"/>
    </row>
    <row r="139" spans="1:13">
      <c r="A139"/>
      <c r="B139"/>
      <c r="C139"/>
      <c r="D139"/>
      <c r="E139"/>
      <c r="F139"/>
      <c r="G139"/>
      <c r="H139"/>
      <c r="I139"/>
      <c r="J139"/>
      <c r="K139"/>
      <c r="L139"/>
      <c r="M139"/>
    </row>
    <row r="140" spans="1:13">
      <c r="A140"/>
      <c r="B140"/>
      <c r="C140"/>
      <c r="D140"/>
      <c r="E140"/>
      <c r="F140"/>
      <c r="G140"/>
      <c r="H140"/>
      <c r="I140"/>
      <c r="J140"/>
      <c r="K140"/>
      <c r="L140"/>
      <c r="M140"/>
    </row>
    <row r="141" spans="1:13">
      <c r="A141"/>
      <c r="B141"/>
      <c r="C141"/>
      <c r="D141"/>
      <c r="E141"/>
      <c r="F141"/>
      <c r="G141"/>
      <c r="H141"/>
      <c r="I141"/>
      <c r="J141"/>
      <c r="K141"/>
      <c r="L141"/>
      <c r="M141"/>
    </row>
    <row r="142" spans="1:13">
      <c r="A142"/>
      <c r="B142"/>
      <c r="C142"/>
      <c r="D142"/>
      <c r="E142"/>
      <c r="F142"/>
      <c r="G142"/>
      <c r="H142"/>
      <c r="I142"/>
      <c r="J142"/>
      <c r="K142"/>
      <c r="L142"/>
      <c r="M142"/>
    </row>
    <row r="143" spans="1:13">
      <c r="A143"/>
      <c r="B143"/>
      <c r="C143"/>
      <c r="D143"/>
      <c r="E143"/>
      <c r="F143"/>
      <c r="G143"/>
      <c r="H143"/>
      <c r="I143"/>
      <c r="J143"/>
      <c r="K143"/>
      <c r="L143"/>
      <c r="M143"/>
    </row>
    <row r="144" spans="1:13">
      <c r="A144"/>
      <c r="B144"/>
      <c r="C144"/>
      <c r="D144"/>
      <c r="E144"/>
      <c r="F144"/>
      <c r="G144"/>
      <c r="H144"/>
      <c r="I144"/>
      <c r="J144"/>
      <c r="K144"/>
      <c r="L144"/>
      <c r="M144"/>
    </row>
    <row r="145" spans="1:14">
      <c r="A145"/>
      <c r="B145"/>
      <c r="C145"/>
      <c r="D145"/>
      <c r="E145"/>
      <c r="F145"/>
      <c r="G145"/>
      <c r="H145"/>
      <c r="I145"/>
      <c r="J145"/>
      <c r="K145"/>
      <c r="L145"/>
      <c r="M145"/>
    </row>
    <row r="146" spans="1:14">
      <c r="A146"/>
      <c r="B146"/>
      <c r="C146"/>
      <c r="D146"/>
      <c r="E146"/>
      <c r="F146"/>
      <c r="G146"/>
      <c r="H146"/>
      <c r="I146"/>
      <c r="J146"/>
      <c r="K146"/>
      <c r="L146"/>
      <c r="M146"/>
    </row>
    <row r="148" spans="1:14">
      <c r="A148"/>
      <c r="B148"/>
      <c r="C148"/>
      <c r="D148"/>
      <c r="E148"/>
      <c r="F148"/>
      <c r="G148"/>
      <c r="H148"/>
      <c r="I148"/>
      <c r="J148"/>
      <c r="K148"/>
      <c r="L148"/>
      <c r="M148"/>
      <c r="N148"/>
    </row>
    <row r="149" spans="1:14">
      <c r="A149"/>
      <c r="B149"/>
      <c r="C149"/>
      <c r="D149"/>
      <c r="E149"/>
      <c r="F149"/>
      <c r="G149"/>
      <c r="H149"/>
      <c r="I149"/>
      <c r="J149"/>
      <c r="K149"/>
      <c r="L149"/>
      <c r="M149"/>
      <c r="N149"/>
    </row>
    <row r="150" spans="1:14">
      <c r="A150"/>
      <c r="B150"/>
      <c r="C150"/>
      <c r="D150"/>
      <c r="E150"/>
      <c r="F150"/>
      <c r="G150"/>
      <c r="H150"/>
      <c r="I150"/>
      <c r="J150"/>
      <c r="K150"/>
      <c r="L150"/>
      <c r="M150"/>
      <c r="N150"/>
    </row>
    <row r="151" spans="1:14">
      <c r="A151"/>
      <c r="B151"/>
      <c r="C151"/>
      <c r="D151"/>
      <c r="E151"/>
      <c r="F151"/>
      <c r="G151"/>
      <c r="H151"/>
      <c r="I151"/>
      <c r="J151"/>
      <c r="K151"/>
      <c r="L151"/>
      <c r="M151"/>
      <c r="N151"/>
    </row>
    <row r="152" spans="1:14">
      <c r="A152"/>
      <c r="B152"/>
      <c r="C152"/>
      <c r="D152"/>
      <c r="E152"/>
      <c r="F152"/>
      <c r="G152"/>
      <c r="H152"/>
      <c r="I152"/>
      <c r="J152"/>
      <c r="K152"/>
      <c r="L152"/>
      <c r="M152"/>
      <c r="N152"/>
    </row>
    <row r="153" spans="1:14">
      <c r="A153"/>
      <c r="B153"/>
      <c r="C153"/>
      <c r="D153"/>
      <c r="E153"/>
      <c r="F153"/>
      <c r="G153"/>
      <c r="H153"/>
      <c r="I153"/>
      <c r="J153"/>
      <c r="K153"/>
      <c r="L153"/>
      <c r="M153"/>
      <c r="N153"/>
    </row>
    <row r="163" spans="1:14">
      <c r="A163"/>
      <c r="B163"/>
      <c r="C163"/>
      <c r="D163"/>
      <c r="E163"/>
      <c r="F163"/>
      <c r="G163"/>
      <c r="H163"/>
      <c r="I163"/>
      <c r="J163"/>
      <c r="K163"/>
      <c r="L163"/>
      <c r="M163"/>
      <c r="N163"/>
    </row>
    <row r="164" spans="1:14">
      <c r="A164" s="11" t="s">
        <v>66</v>
      </c>
      <c r="B164"/>
      <c r="C164"/>
      <c r="D164"/>
      <c r="E164"/>
      <c r="F164"/>
      <c r="G164"/>
      <c r="H164"/>
      <c r="I164"/>
      <c r="J164"/>
      <c r="K164"/>
      <c r="L164"/>
      <c r="M164"/>
      <c r="N164"/>
    </row>
    <row r="165" spans="1:14">
      <c r="A165"/>
      <c r="B165"/>
      <c r="C165"/>
      <c r="D165"/>
      <c r="E165"/>
      <c r="F165"/>
      <c r="G165"/>
      <c r="H165"/>
      <c r="I165"/>
      <c r="J165"/>
      <c r="K165"/>
      <c r="L165"/>
      <c r="M165"/>
      <c r="N165"/>
    </row>
    <row r="166" spans="1:14">
      <c r="A166" s="9" t="s">
        <v>14</v>
      </c>
      <c r="B166"/>
      <c r="C166" s="3">
        <v>15816</v>
      </c>
      <c r="D166" s="7">
        <f>C166/$C$171</f>
        <v>1.8605854915270188E-2</v>
      </c>
      <c r="F166"/>
      <c r="G166"/>
      <c r="H166"/>
      <c r="I166"/>
      <c r="J166"/>
      <c r="K166"/>
      <c r="L166"/>
      <c r="M166"/>
      <c r="N166"/>
    </row>
    <row r="167" spans="1:14">
      <c r="A167" s="9" t="s">
        <v>15</v>
      </c>
      <c r="B167"/>
      <c r="C167" s="3">
        <v>1088</v>
      </c>
      <c r="D167" s="7">
        <f>C167/$C$171</f>
        <v>1.2799171818294111E-3</v>
      </c>
      <c r="F167"/>
      <c r="G167"/>
      <c r="H167"/>
      <c r="I167"/>
      <c r="J167"/>
      <c r="K167"/>
      <c r="L167"/>
      <c r="M167"/>
      <c r="N167"/>
    </row>
    <row r="168" spans="1:14">
      <c r="A168" s="9" t="s">
        <v>16</v>
      </c>
      <c r="B168"/>
      <c r="C168" s="3">
        <v>10044</v>
      </c>
      <c r="D168" s="7">
        <f>C168/$C$171</f>
        <v>1.1815706042550188E-2</v>
      </c>
      <c r="F168"/>
      <c r="G168"/>
      <c r="H168"/>
      <c r="I168"/>
      <c r="J168"/>
      <c r="K168"/>
      <c r="L168"/>
      <c r="M168"/>
      <c r="N168"/>
    </row>
    <row r="169" spans="1:14">
      <c r="A169" s="9" t="s">
        <v>12</v>
      </c>
      <c r="B169"/>
      <c r="C169" s="3">
        <v>0</v>
      </c>
      <c r="D169" s="7">
        <f>C169/$C$171</f>
        <v>0</v>
      </c>
      <c r="F169"/>
      <c r="G169"/>
      <c r="H169"/>
      <c r="I169"/>
      <c r="J169"/>
      <c r="K169"/>
      <c r="L169"/>
      <c r="M169"/>
      <c r="N169"/>
    </row>
    <row r="170" spans="1:14">
      <c r="A170" s="2" t="s">
        <v>13</v>
      </c>
      <c r="B170"/>
      <c r="C170" s="6">
        <v>823107</v>
      </c>
      <c r="D170" s="7">
        <f>C170/$C$171</f>
        <v>0.96829852186035026</v>
      </c>
      <c r="F170"/>
      <c r="G170"/>
      <c r="H170"/>
      <c r="I170"/>
      <c r="J170"/>
      <c r="K170"/>
      <c r="L170"/>
      <c r="M170"/>
      <c r="N170"/>
    </row>
    <row r="171" spans="1:14">
      <c r="A171"/>
      <c r="B171" s="35" t="s">
        <v>6</v>
      </c>
      <c r="C171" s="36">
        <f>SUM(C166:C170)</f>
        <v>850055</v>
      </c>
      <c r="D171" s="7">
        <f>C171/$C$171</f>
        <v>1</v>
      </c>
      <c r="F171"/>
      <c r="G171"/>
      <c r="H171"/>
      <c r="I171"/>
      <c r="J171"/>
      <c r="K171"/>
      <c r="L171"/>
      <c r="M171"/>
      <c r="N171"/>
    </row>
    <row r="172" spans="1:14">
      <c r="A172"/>
      <c r="B172"/>
      <c r="C172"/>
      <c r="D172"/>
      <c r="E172"/>
      <c r="F172"/>
      <c r="G172"/>
      <c r="H172"/>
      <c r="I172"/>
      <c r="J172"/>
      <c r="K172"/>
      <c r="L172"/>
      <c r="M172"/>
      <c r="N172"/>
    </row>
    <row r="173" spans="1:14">
      <c r="A173"/>
      <c r="B173"/>
      <c r="C173"/>
      <c r="D173"/>
      <c r="E173"/>
      <c r="F173"/>
      <c r="G173"/>
      <c r="H173"/>
      <c r="I173"/>
      <c r="J173"/>
      <c r="K173"/>
      <c r="L173"/>
      <c r="M173"/>
      <c r="N173"/>
    </row>
    <row r="174" spans="1:14">
      <c r="A174"/>
      <c r="B174"/>
      <c r="C174"/>
      <c r="D174"/>
      <c r="E174"/>
      <c r="F174"/>
      <c r="G174"/>
      <c r="H174"/>
      <c r="I174"/>
      <c r="J174"/>
      <c r="K174"/>
      <c r="L174"/>
      <c r="M174"/>
      <c r="N174"/>
    </row>
    <row r="175" spans="1:14">
      <c r="A175"/>
      <c r="B175"/>
      <c r="C175"/>
      <c r="D175"/>
      <c r="E175"/>
      <c r="F175"/>
      <c r="G175"/>
      <c r="H175"/>
      <c r="I175"/>
      <c r="J175"/>
      <c r="K175"/>
      <c r="L175"/>
      <c r="M175"/>
      <c r="N175"/>
    </row>
    <row r="176" spans="1:14">
      <c r="A176"/>
      <c r="B176"/>
      <c r="C176"/>
      <c r="D176"/>
      <c r="E176"/>
      <c r="F176"/>
      <c r="G176"/>
      <c r="H176"/>
      <c r="I176"/>
      <c r="J176"/>
      <c r="K176"/>
      <c r="L176"/>
      <c r="M176"/>
      <c r="N176"/>
    </row>
    <row r="177" spans="1:14">
      <c r="A177"/>
      <c r="B177"/>
      <c r="C177"/>
      <c r="D177"/>
      <c r="E177"/>
      <c r="F177"/>
      <c r="G177"/>
      <c r="H177"/>
      <c r="I177"/>
      <c r="J177"/>
      <c r="K177"/>
      <c r="L177"/>
      <c r="M177"/>
      <c r="N177"/>
    </row>
    <row r="178" spans="1:14">
      <c r="A178"/>
      <c r="B178"/>
      <c r="C178"/>
      <c r="D178"/>
      <c r="E178"/>
      <c r="F178"/>
      <c r="G178"/>
      <c r="H178"/>
      <c r="I178"/>
      <c r="J178"/>
      <c r="K178"/>
      <c r="L178"/>
      <c r="M178"/>
      <c r="N178"/>
    </row>
    <row r="179" spans="1:14">
      <c r="A179"/>
      <c r="B179"/>
      <c r="C179"/>
      <c r="D179"/>
      <c r="E179"/>
      <c r="F179"/>
      <c r="G179"/>
      <c r="H179"/>
      <c r="I179"/>
      <c r="J179"/>
      <c r="K179"/>
      <c r="L179"/>
      <c r="M179"/>
      <c r="N179"/>
    </row>
    <row r="180" spans="1:14">
      <c r="A180"/>
      <c r="B180"/>
      <c r="C180"/>
      <c r="D180"/>
      <c r="E180"/>
      <c r="F180"/>
      <c r="G180"/>
      <c r="H180"/>
      <c r="I180"/>
      <c r="J180"/>
      <c r="K180"/>
      <c r="L180"/>
      <c r="M180"/>
      <c r="N180"/>
    </row>
    <row r="181" spans="1:14">
      <c r="A181"/>
      <c r="B181"/>
      <c r="C181"/>
      <c r="D181"/>
      <c r="E181"/>
      <c r="F181"/>
      <c r="G181"/>
      <c r="H181"/>
      <c r="I181"/>
      <c r="J181"/>
      <c r="K181"/>
      <c r="L181"/>
      <c r="M181"/>
      <c r="N181"/>
    </row>
    <row r="182" spans="1:14">
      <c r="A182"/>
      <c r="B182"/>
      <c r="C182"/>
      <c r="D182"/>
      <c r="E182"/>
      <c r="F182"/>
      <c r="G182"/>
      <c r="H182"/>
      <c r="I182"/>
      <c r="J182"/>
      <c r="K182"/>
      <c r="L182"/>
      <c r="M182"/>
      <c r="N182"/>
    </row>
    <row r="183" spans="1:14">
      <c r="A183"/>
      <c r="B183"/>
      <c r="C183"/>
      <c r="D183"/>
      <c r="E183"/>
      <c r="F183"/>
      <c r="G183"/>
      <c r="H183"/>
      <c r="I183"/>
      <c r="J183"/>
      <c r="K183"/>
      <c r="L183"/>
      <c r="M183"/>
      <c r="N183"/>
    </row>
    <row r="184" spans="1:14">
      <c r="A184"/>
      <c r="B184"/>
      <c r="C184"/>
      <c r="D184"/>
      <c r="E184"/>
      <c r="F184"/>
      <c r="G184"/>
      <c r="H184"/>
      <c r="I184"/>
      <c r="J184"/>
      <c r="K184"/>
      <c r="L184"/>
      <c r="M184"/>
      <c r="N184"/>
    </row>
    <row r="185" spans="1:14">
      <c r="A185"/>
      <c r="B185"/>
      <c r="C185"/>
      <c r="D185"/>
      <c r="E185"/>
      <c r="F185"/>
      <c r="G185"/>
      <c r="H185"/>
      <c r="I185"/>
      <c r="J185"/>
      <c r="K185"/>
      <c r="L185"/>
      <c r="M185"/>
      <c r="N185"/>
    </row>
    <row r="186" spans="1:14">
      <c r="A186"/>
      <c r="B186"/>
      <c r="C186"/>
      <c r="D186"/>
      <c r="E186"/>
      <c r="F186"/>
      <c r="G186"/>
      <c r="H186"/>
      <c r="I186"/>
      <c r="J186"/>
      <c r="K186"/>
      <c r="L186"/>
      <c r="M186"/>
      <c r="N186"/>
    </row>
    <row r="187" spans="1:14">
      <c r="A187"/>
      <c r="B187"/>
      <c r="C187"/>
      <c r="D187"/>
      <c r="E187"/>
      <c r="F187"/>
      <c r="G187"/>
      <c r="H187"/>
      <c r="I187"/>
      <c r="J187"/>
      <c r="K187"/>
      <c r="L187"/>
      <c r="M187"/>
      <c r="N187"/>
    </row>
    <row r="188" spans="1:14">
      <c r="A188"/>
      <c r="B188"/>
      <c r="C188"/>
      <c r="D188"/>
      <c r="E188"/>
      <c r="F188"/>
      <c r="G188"/>
      <c r="H188"/>
      <c r="I188"/>
      <c r="J188"/>
      <c r="K188"/>
      <c r="L188"/>
      <c r="M188"/>
      <c r="N188"/>
    </row>
    <row r="189" spans="1:14">
      <c r="A189"/>
      <c r="B189"/>
      <c r="C189"/>
      <c r="D189"/>
      <c r="E189"/>
      <c r="F189"/>
      <c r="G189"/>
      <c r="H189"/>
      <c r="I189"/>
      <c r="J189"/>
      <c r="K189"/>
      <c r="L189"/>
      <c r="M189"/>
      <c r="N189"/>
    </row>
    <row r="190" spans="1:14">
      <c r="A190"/>
      <c r="B190"/>
      <c r="C190"/>
      <c r="D190"/>
      <c r="E190"/>
      <c r="F190"/>
      <c r="G190"/>
      <c r="H190"/>
      <c r="I190"/>
      <c r="J190"/>
      <c r="K190"/>
      <c r="L190"/>
      <c r="M190"/>
      <c r="N190"/>
    </row>
    <row r="191" spans="1:14">
      <c r="A191"/>
      <c r="B191"/>
      <c r="C191"/>
      <c r="D191"/>
      <c r="E191"/>
      <c r="F191"/>
      <c r="G191"/>
      <c r="H191"/>
      <c r="I191"/>
      <c r="J191"/>
      <c r="K191"/>
      <c r="L191"/>
      <c r="M191"/>
      <c r="N191"/>
    </row>
    <row r="192" spans="1:14">
      <c r="A192"/>
      <c r="B192"/>
      <c r="C192"/>
      <c r="D192"/>
      <c r="E192"/>
      <c r="F192"/>
      <c r="G192"/>
      <c r="H192"/>
      <c r="I192"/>
      <c r="J192"/>
      <c r="K192"/>
      <c r="L192"/>
      <c r="M192"/>
      <c r="N192"/>
    </row>
    <row r="193" spans="1:14">
      <c r="A193"/>
      <c r="B193"/>
      <c r="C193"/>
      <c r="D193"/>
      <c r="E193"/>
      <c r="F193"/>
      <c r="G193"/>
      <c r="H193"/>
      <c r="I193"/>
      <c r="J193"/>
      <c r="K193"/>
      <c r="L193"/>
      <c r="M193"/>
      <c r="N193"/>
    </row>
    <row r="194" spans="1:14">
      <c r="A194"/>
      <c r="B194"/>
      <c r="C194"/>
      <c r="D194"/>
      <c r="E194"/>
      <c r="F194"/>
      <c r="G194"/>
      <c r="H194"/>
      <c r="I194"/>
      <c r="J194"/>
      <c r="K194"/>
      <c r="L194"/>
      <c r="M194"/>
      <c r="N194"/>
    </row>
    <row r="195" spans="1:14">
      <c r="A195"/>
      <c r="B195"/>
      <c r="C195"/>
      <c r="D195"/>
      <c r="E195"/>
      <c r="F195"/>
      <c r="G195"/>
      <c r="H195"/>
      <c r="I195"/>
      <c r="J195"/>
      <c r="K195"/>
      <c r="L195"/>
      <c r="M195"/>
      <c r="N195"/>
    </row>
    <row r="196" spans="1:14">
      <c r="A196"/>
      <c r="B196"/>
      <c r="C196"/>
      <c r="D196"/>
      <c r="E196"/>
      <c r="F196"/>
      <c r="G196"/>
      <c r="H196"/>
      <c r="I196"/>
      <c r="J196"/>
      <c r="K196"/>
      <c r="L196"/>
      <c r="M196"/>
      <c r="N196"/>
    </row>
  </sheetData>
  <mergeCells count="1">
    <mergeCell ref="A1:C1"/>
  </mergeCells>
  <pageMargins left="1.0900000000000001" right="0.26" top="1" bottom="0.43" header="0.5" footer="0.2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A070-F715-4B70-8C08-30B877E6C99F}">
  <dimension ref="A1:E60"/>
  <sheetViews>
    <sheetView topLeftCell="A63" workbookViewId="0">
      <selection activeCell="A58" sqref="A58"/>
    </sheetView>
  </sheetViews>
  <sheetFormatPr defaultRowHeight="12.75"/>
  <cols>
    <col min="1" max="1" width="60.7109375" bestFit="1" customWidth="1"/>
    <col min="2" max="4" width="10.7109375" bestFit="1" customWidth="1"/>
  </cols>
  <sheetData>
    <row r="1" spans="1:5">
      <c r="A1" t="s">
        <v>57</v>
      </c>
    </row>
    <row r="2" spans="1:5">
      <c r="A2" t="s">
        <v>56</v>
      </c>
      <c r="B2">
        <v>2023</v>
      </c>
      <c r="C2">
        <v>2022</v>
      </c>
      <c r="D2">
        <v>2021</v>
      </c>
      <c r="E2">
        <v>2020</v>
      </c>
    </row>
    <row r="3" spans="1:5">
      <c r="A3" t="s">
        <v>112</v>
      </c>
      <c r="B3" s="40">
        <v>769365</v>
      </c>
      <c r="C3" s="40">
        <v>686970</v>
      </c>
      <c r="D3" s="40">
        <v>570776</v>
      </c>
      <c r="E3" s="40">
        <v>471063</v>
      </c>
    </row>
    <row r="4" spans="1:5">
      <c r="A4" t="s">
        <v>54</v>
      </c>
      <c r="B4">
        <v>512525</v>
      </c>
      <c r="C4">
        <v>454239</v>
      </c>
      <c r="D4">
        <v>371535</v>
      </c>
      <c r="E4">
        <v>300702</v>
      </c>
    </row>
    <row r="5" spans="1:5">
      <c r="A5" t="s">
        <v>53</v>
      </c>
      <c r="B5">
        <v>256840</v>
      </c>
      <c r="C5">
        <v>232731</v>
      </c>
      <c r="D5">
        <v>199241</v>
      </c>
      <c r="E5">
        <v>170361</v>
      </c>
    </row>
    <row r="6" spans="1:5">
      <c r="A6" t="s">
        <v>52</v>
      </c>
      <c r="B6" s="40">
        <v>155012</v>
      </c>
      <c r="C6" s="41">
        <v>121872</v>
      </c>
      <c r="D6" s="41">
        <v>132062</v>
      </c>
      <c r="E6" s="41">
        <v>111953</v>
      </c>
    </row>
    <row r="7" spans="1:5">
      <c r="A7" t="s">
        <v>113</v>
      </c>
      <c r="B7" s="40">
        <v>18403</v>
      </c>
      <c r="C7" s="41">
        <v>-12614</v>
      </c>
      <c r="D7" s="41">
        <v>18596</v>
      </c>
      <c r="E7" s="41">
        <v>18018</v>
      </c>
    </row>
    <row r="8" spans="1:5">
      <c r="A8" t="s">
        <v>51</v>
      </c>
      <c r="B8" s="40">
        <v>120231</v>
      </c>
      <c r="C8" s="40">
        <v>98245</v>
      </c>
      <c r="D8" s="40">
        <v>85775</v>
      </c>
      <c r="E8" s="40">
        <v>76426</v>
      </c>
    </row>
    <row r="9" spans="1:5">
      <c r="A9" s="47" t="s">
        <v>8</v>
      </c>
      <c r="B9" s="40">
        <v>337</v>
      </c>
      <c r="C9" s="40">
        <v>104</v>
      </c>
      <c r="D9">
        <v>46</v>
      </c>
      <c r="E9">
        <v>164</v>
      </c>
    </row>
    <row r="10" spans="1:5">
      <c r="A10" t="s">
        <v>114</v>
      </c>
      <c r="B10" s="40">
        <v>119894</v>
      </c>
      <c r="C10">
        <v>98141</v>
      </c>
      <c r="D10" s="40">
        <v>85729</v>
      </c>
      <c r="E10" s="40">
        <v>76262</v>
      </c>
    </row>
    <row r="11" spans="1:5">
      <c r="A11" t="s">
        <v>49</v>
      </c>
      <c r="B11" s="40">
        <v>28008</v>
      </c>
      <c r="C11" s="41">
        <v>22249</v>
      </c>
      <c r="D11" s="41">
        <v>20421</v>
      </c>
      <c r="E11" s="41">
        <v>17288</v>
      </c>
    </row>
    <row r="12" spans="1:5">
      <c r="A12" t="s">
        <v>115</v>
      </c>
      <c r="B12">
        <v>26</v>
      </c>
      <c r="C12">
        <v>45</v>
      </c>
      <c r="D12">
        <v>18</v>
      </c>
      <c r="E12">
        <v>21</v>
      </c>
    </row>
    <row r="13" spans="1:5">
      <c r="A13" s="47" t="s">
        <v>131</v>
      </c>
      <c r="B13" s="40">
        <v>91912</v>
      </c>
      <c r="C13" s="40">
        <v>75937</v>
      </c>
      <c r="D13" s="40">
        <v>65326</v>
      </c>
      <c r="E13" s="40">
        <v>58995</v>
      </c>
    </row>
    <row r="15" spans="1:5">
      <c r="A15" t="s">
        <v>47</v>
      </c>
      <c r="B15">
        <v>2023</v>
      </c>
      <c r="C15">
        <v>2022</v>
      </c>
      <c r="D15">
        <v>2021</v>
      </c>
      <c r="E15">
        <v>2020</v>
      </c>
    </row>
    <row r="16" spans="1:5">
      <c r="A16" t="s">
        <v>46</v>
      </c>
    </row>
    <row r="17" spans="1:5">
      <c r="A17" t="s">
        <v>116</v>
      </c>
      <c r="B17" s="40">
        <v>76290</v>
      </c>
      <c r="C17" s="40">
        <v>53635</v>
      </c>
      <c r="D17" s="40">
        <v>106226</v>
      </c>
      <c r="E17" s="40">
        <v>167256</v>
      </c>
    </row>
    <row r="18" spans="1:5">
      <c r="A18" t="s">
        <v>117</v>
      </c>
      <c r="B18" s="40">
        <v>95507</v>
      </c>
      <c r="C18" s="40">
        <v>96128</v>
      </c>
      <c r="D18" s="40">
        <v>39968</v>
      </c>
      <c r="E18" s="40">
        <v>42090</v>
      </c>
    </row>
    <row r="19" spans="1:5">
      <c r="A19" t="s">
        <v>44</v>
      </c>
      <c r="B19" s="41">
        <v>55568</v>
      </c>
      <c r="C19" s="41">
        <v>58556</v>
      </c>
      <c r="D19" s="41">
        <v>54921</v>
      </c>
      <c r="E19" s="41">
        <v>41209</v>
      </c>
    </row>
    <row r="20" spans="1:5">
      <c r="A20" t="s">
        <v>118</v>
      </c>
      <c r="B20" s="41">
        <v>9165</v>
      </c>
      <c r="C20" s="41">
        <v>4299</v>
      </c>
      <c r="D20" s="41">
        <v>3920</v>
      </c>
      <c r="E20" s="41">
        <v>3894</v>
      </c>
    </row>
    <row r="21" spans="1:5">
      <c r="A21" t="s">
        <v>11</v>
      </c>
      <c r="B21" s="41">
        <v>94921</v>
      </c>
      <c r="C21" s="41">
        <v>84266</v>
      </c>
      <c r="D21" s="41">
        <v>55505</v>
      </c>
      <c r="E21" s="41">
        <v>59579</v>
      </c>
    </row>
    <row r="22" spans="1:5">
      <c r="A22" t="s">
        <v>119</v>
      </c>
      <c r="B22">
        <v>0</v>
      </c>
      <c r="C22">
        <v>0</v>
      </c>
      <c r="D22">
        <v>0</v>
      </c>
      <c r="E22">
        <v>0</v>
      </c>
    </row>
    <row r="23" spans="1:5">
      <c r="A23" t="s">
        <v>120</v>
      </c>
      <c r="B23" s="41">
        <v>9200</v>
      </c>
      <c r="C23" s="41">
        <v>12144</v>
      </c>
      <c r="D23" s="41">
        <v>7761</v>
      </c>
      <c r="E23" s="41">
        <v>6844</v>
      </c>
    </row>
    <row r="24" spans="1:5">
      <c r="A24" t="s">
        <v>121</v>
      </c>
      <c r="B24">
        <v>0</v>
      </c>
      <c r="C24">
        <v>0</v>
      </c>
      <c r="D24">
        <v>0</v>
      </c>
      <c r="E24">
        <v>0</v>
      </c>
    </row>
    <row r="25" spans="1:5">
      <c r="A25" t="s">
        <v>42</v>
      </c>
      <c r="B25" s="40">
        <v>340651</v>
      </c>
      <c r="C25" s="40">
        <v>309028</v>
      </c>
      <c r="D25" s="40">
        <v>268301</v>
      </c>
      <c r="E25" s="40">
        <v>320872</v>
      </c>
    </row>
    <row r="27" spans="1:5">
      <c r="A27" t="s">
        <v>41</v>
      </c>
      <c r="B27" s="41">
        <v>670498</v>
      </c>
      <c r="C27" s="41">
        <v>641182</v>
      </c>
      <c r="D27" s="41">
        <v>621402</v>
      </c>
      <c r="E27" s="41">
        <v>583332</v>
      </c>
    </row>
    <row r="28" spans="1:5">
      <c r="A28" t="s">
        <v>40</v>
      </c>
      <c r="B28" s="41">
        <v>-447520</v>
      </c>
      <c r="C28" s="41">
        <v>-429139</v>
      </c>
      <c r="D28" s="41">
        <v>-412496</v>
      </c>
      <c r="E28" s="41">
        <v>-396004</v>
      </c>
    </row>
    <row r="29" spans="1:5">
      <c r="A29" t="s">
        <v>39</v>
      </c>
      <c r="B29" s="40">
        <v>222978</v>
      </c>
      <c r="C29" s="40">
        <v>212043</v>
      </c>
      <c r="D29" s="40">
        <v>208906</v>
      </c>
      <c r="E29" s="40">
        <v>187328</v>
      </c>
    </row>
    <row r="30" spans="1:5">
      <c r="A30" t="s">
        <v>38</v>
      </c>
      <c r="B30" s="41">
        <v>73237</v>
      </c>
      <c r="C30" s="41">
        <v>73237</v>
      </c>
      <c r="D30" s="41">
        <v>73237</v>
      </c>
      <c r="E30" s="41">
        <v>73237</v>
      </c>
    </row>
    <row r="31" spans="1:5">
      <c r="A31" t="s">
        <v>37</v>
      </c>
      <c r="B31" s="41">
        <v>175024</v>
      </c>
      <c r="C31" s="41">
        <v>175024</v>
      </c>
      <c r="D31" s="41">
        <v>175024</v>
      </c>
      <c r="E31" s="41">
        <v>175024</v>
      </c>
    </row>
    <row r="32" spans="1:5">
      <c r="A32" t="s">
        <v>122</v>
      </c>
      <c r="B32" s="41">
        <v>255606</v>
      </c>
      <c r="C32" s="41">
        <v>247528</v>
      </c>
      <c r="D32" s="41">
        <v>291175</v>
      </c>
      <c r="E32" s="41">
        <v>220020</v>
      </c>
    </row>
    <row r="33" spans="1:5">
      <c r="A33" t="s">
        <v>36</v>
      </c>
      <c r="B33" s="41">
        <v>16895</v>
      </c>
      <c r="C33" s="41">
        <v>1919</v>
      </c>
      <c r="D33" s="41">
        <v>1975</v>
      </c>
      <c r="E33" s="41">
        <v>8077</v>
      </c>
    </row>
    <row r="34" spans="1:5">
      <c r="A34" t="s">
        <v>61</v>
      </c>
      <c r="B34" s="40">
        <v>1084391</v>
      </c>
      <c r="C34" s="40">
        <v>1018779</v>
      </c>
      <c r="D34" s="40">
        <v>1018618</v>
      </c>
      <c r="E34" s="40">
        <v>984558</v>
      </c>
    </row>
    <row r="36" spans="1:5">
      <c r="A36" t="s">
        <v>35</v>
      </c>
    </row>
    <row r="37" spans="1:5">
      <c r="A37" t="s">
        <v>34</v>
      </c>
      <c r="B37" s="40">
        <v>15816</v>
      </c>
      <c r="C37" s="40">
        <v>25246</v>
      </c>
      <c r="D37" s="40">
        <v>14969</v>
      </c>
      <c r="E37" s="40">
        <v>13025</v>
      </c>
    </row>
    <row r="38" spans="1:5">
      <c r="A38" t="s">
        <v>123</v>
      </c>
      <c r="B38" s="40">
        <v>1088</v>
      </c>
      <c r="C38" s="40">
        <v>1051</v>
      </c>
      <c r="D38" s="40">
        <v>939</v>
      </c>
      <c r="E38" s="40">
        <v>832</v>
      </c>
    </row>
    <row r="39" spans="1:5">
      <c r="A39" t="s">
        <v>33</v>
      </c>
      <c r="B39" s="41">
        <v>6250</v>
      </c>
      <c r="C39" s="41">
        <v>6154</v>
      </c>
      <c r="D39" s="41">
        <v>6042</v>
      </c>
      <c r="E39" s="41">
        <v>5948</v>
      </c>
    </row>
    <row r="40" spans="1:5">
      <c r="A40" t="s">
        <v>32</v>
      </c>
      <c r="B40" s="41">
        <v>61690</v>
      </c>
      <c r="C40" s="41">
        <v>54444</v>
      </c>
      <c r="D40" s="41">
        <v>53896</v>
      </c>
      <c r="E40" s="41">
        <v>45099</v>
      </c>
    </row>
    <row r="41" spans="1:5">
      <c r="A41" t="s">
        <v>124</v>
      </c>
      <c r="B41" s="41">
        <v>10044</v>
      </c>
      <c r="C41" s="41">
        <v>3239</v>
      </c>
      <c r="D41" s="41">
        <v>4122</v>
      </c>
      <c r="E41" s="41">
        <v>5117</v>
      </c>
    </row>
    <row r="42" spans="1:5">
      <c r="A42" t="s">
        <v>31</v>
      </c>
      <c r="B42" s="40">
        <v>94888</v>
      </c>
      <c r="C42" s="40">
        <v>90134</v>
      </c>
      <c r="D42" s="40">
        <v>79968</v>
      </c>
      <c r="E42" s="40">
        <v>70021</v>
      </c>
    </row>
    <row r="43" spans="1:5">
      <c r="A43" t="s">
        <v>125</v>
      </c>
      <c r="B43" s="40">
        <v>0</v>
      </c>
      <c r="C43" s="40">
        <v>0</v>
      </c>
      <c r="D43" s="40">
        <v>0</v>
      </c>
      <c r="E43" s="40">
        <v>0</v>
      </c>
    </row>
    <row r="44" spans="1:5">
      <c r="A44" t="s">
        <v>121</v>
      </c>
      <c r="B44" s="41">
        <v>45477</v>
      </c>
      <c r="C44" s="41">
        <v>45005</v>
      </c>
      <c r="D44" s="41">
        <v>45461</v>
      </c>
      <c r="E44" s="41">
        <v>47900</v>
      </c>
    </row>
    <row r="45" spans="1:5">
      <c r="A45" t="s">
        <v>29</v>
      </c>
      <c r="B45" s="41">
        <v>120919</v>
      </c>
      <c r="C45" s="41">
        <v>100758</v>
      </c>
      <c r="D45" s="41">
        <v>124392</v>
      </c>
      <c r="E45" s="41">
        <v>103537</v>
      </c>
    </row>
    <row r="46" spans="1:5">
      <c r="A46" t="s">
        <v>60</v>
      </c>
      <c r="B46" s="41">
        <v>261284</v>
      </c>
      <c r="C46" s="41">
        <v>235897</v>
      </c>
      <c r="D46" s="41">
        <v>249821</v>
      </c>
      <c r="E46" s="41">
        <v>221458</v>
      </c>
    </row>
    <row r="48" spans="1:5">
      <c r="A48" s="47" t="s">
        <v>28</v>
      </c>
      <c r="B48" s="41">
        <v>27777</v>
      </c>
      <c r="C48" s="41">
        <v>27584</v>
      </c>
      <c r="D48" s="41">
        <v>27322</v>
      </c>
      <c r="E48" s="41">
        <v>27134</v>
      </c>
    </row>
    <row r="49" spans="1:5">
      <c r="A49" t="s">
        <v>63</v>
      </c>
      <c r="B49" s="41">
        <v>20448</v>
      </c>
      <c r="C49" s="41">
        <v>19866</v>
      </c>
      <c r="D49" s="41">
        <v>19300</v>
      </c>
      <c r="E49" s="41">
        <v>18758</v>
      </c>
    </row>
    <row r="50" spans="1:5">
      <c r="A50" t="s">
        <v>27</v>
      </c>
      <c r="B50" s="41">
        <v>737453</v>
      </c>
      <c r="C50" s="41">
        <v>719606</v>
      </c>
      <c r="D50" s="41">
        <v>709880</v>
      </c>
      <c r="E50" s="41">
        <v>706930</v>
      </c>
    </row>
    <row r="51" spans="1:5">
      <c r="A51" t="s">
        <v>26</v>
      </c>
      <c r="B51" s="41">
        <v>62949</v>
      </c>
      <c r="C51" s="41">
        <v>48276</v>
      </c>
      <c r="D51" s="41">
        <v>39545</v>
      </c>
      <c r="E51" s="41">
        <v>32312</v>
      </c>
    </row>
    <row r="52" spans="1:5">
      <c r="A52" t="s">
        <v>126</v>
      </c>
    </row>
    <row r="53" spans="1:5">
      <c r="A53" t="s">
        <v>127</v>
      </c>
      <c r="B53" s="41">
        <v>-23213</v>
      </c>
      <c r="C53" s="41">
        <v>-30169</v>
      </c>
      <c r="D53" s="41">
        <v>-25013</v>
      </c>
      <c r="E53" s="41">
        <v>-19815</v>
      </c>
    </row>
    <row r="54" spans="1:5">
      <c r="A54" t="s">
        <v>128</v>
      </c>
      <c r="B54" s="41">
        <v>-1992</v>
      </c>
      <c r="C54" s="41">
        <v>-1992</v>
      </c>
      <c r="D54" s="41">
        <v>-1992</v>
      </c>
      <c r="E54" s="41">
        <v>-1992</v>
      </c>
    </row>
    <row r="55" spans="1:5">
      <c r="A55" t="s">
        <v>129</v>
      </c>
      <c r="B55">
        <v>-315</v>
      </c>
      <c r="C55">
        <v>-289</v>
      </c>
      <c r="D55">
        <v>-245</v>
      </c>
      <c r="E55">
        <v>-227</v>
      </c>
    </row>
    <row r="56" spans="1:5">
      <c r="A56" t="s">
        <v>59</v>
      </c>
      <c r="B56" s="40">
        <v>823107</v>
      </c>
      <c r="C56" s="40">
        <v>782882</v>
      </c>
      <c r="D56" s="40">
        <v>768797</v>
      </c>
      <c r="E56" s="40">
        <v>763100</v>
      </c>
    </row>
    <row r="57" spans="1:5">
      <c r="A57" t="s">
        <v>58</v>
      </c>
      <c r="B57" s="40">
        <v>1084391</v>
      </c>
      <c r="C57" s="40">
        <v>1018779</v>
      </c>
      <c r="D57" s="40">
        <v>1018618</v>
      </c>
      <c r="E57" s="40">
        <v>984558</v>
      </c>
    </row>
    <row r="58" spans="1:5">
      <c r="A58" t="s">
        <v>130</v>
      </c>
    </row>
    <row r="59" spans="1:5">
      <c r="A59" t="s">
        <v>66</v>
      </c>
    </row>
    <row r="60" spans="1:5">
      <c r="A60"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
  <sheetViews>
    <sheetView topLeftCell="A91" zoomScale="86" zoomScaleNormal="80" zoomScaleSheetLayoutView="90" workbookViewId="0">
      <selection activeCell="D97" sqref="D97"/>
    </sheetView>
  </sheetViews>
  <sheetFormatPr defaultRowHeight="12.75"/>
  <cols>
    <col min="1" max="1" width="5.5703125" customWidth="1"/>
    <col min="2" max="2" width="13.85546875" customWidth="1"/>
    <col min="3" max="3" width="17.140625" bestFit="1" customWidth="1"/>
    <col min="4" max="4" width="13.140625" bestFit="1" customWidth="1"/>
    <col min="5" max="5" width="18" bestFit="1" customWidth="1"/>
  </cols>
  <sheetData>
    <row r="1" spans="1:14" ht="15.75">
      <c r="A1" s="46" t="s">
        <v>65</v>
      </c>
      <c r="B1" s="46"/>
      <c r="C1" s="46"/>
      <c r="D1" s="46"/>
      <c r="E1" s="46"/>
      <c r="F1" s="46"/>
      <c r="G1" s="46"/>
      <c r="H1" s="46"/>
      <c r="I1" s="46"/>
      <c r="J1" s="46"/>
      <c r="K1" s="46"/>
      <c r="L1" s="46"/>
      <c r="M1" s="46"/>
      <c r="N1" s="46"/>
    </row>
    <row r="2" spans="1:14" ht="15.75">
      <c r="A2" s="46" t="s">
        <v>20</v>
      </c>
      <c r="B2" s="46"/>
      <c r="C2" s="46"/>
      <c r="D2" s="46"/>
      <c r="E2" s="46"/>
      <c r="F2" s="46"/>
      <c r="G2" s="46"/>
      <c r="H2" s="46"/>
      <c r="I2" s="46"/>
      <c r="J2" s="46"/>
      <c r="K2" s="46"/>
      <c r="L2" s="46"/>
      <c r="M2" s="46"/>
      <c r="N2" s="46"/>
    </row>
    <row r="5" spans="1:14">
      <c r="A5" s="10"/>
    </row>
    <row r="6" spans="1:14">
      <c r="A6" s="11"/>
    </row>
    <row r="9" spans="1:14">
      <c r="A9" s="11" t="s">
        <v>66</v>
      </c>
      <c r="B9" t="s">
        <v>66</v>
      </c>
    </row>
    <row r="12" spans="1:14">
      <c r="A12" s="1" t="s">
        <v>0</v>
      </c>
      <c r="B12" s="37" t="s">
        <v>1</v>
      </c>
      <c r="C12" s="38" t="s">
        <v>3</v>
      </c>
      <c r="D12" s="1" t="s">
        <v>5</v>
      </c>
      <c r="E12" s="1" t="s">
        <v>4</v>
      </c>
    </row>
    <row r="14" spans="1:14">
      <c r="A14">
        <v>2008</v>
      </c>
      <c r="B14" s="3">
        <v>1100000</v>
      </c>
      <c r="C14" s="39">
        <v>15000</v>
      </c>
    </row>
    <row r="15" spans="1:14">
      <c r="A15">
        <v>2009</v>
      </c>
      <c r="B15" s="3">
        <v>900000</v>
      </c>
      <c r="C15" s="39">
        <v>13000</v>
      </c>
      <c r="D15" s="4">
        <f t="shared" ref="D15:E17" si="0">(B15/B14)-1</f>
        <v>-0.18181818181818177</v>
      </c>
      <c r="E15" s="4">
        <f t="shared" si="0"/>
        <v>-0.1333333333333333</v>
      </c>
    </row>
    <row r="16" spans="1:14">
      <c r="A16">
        <v>2010</v>
      </c>
      <c r="B16" s="3">
        <v>1100000</v>
      </c>
      <c r="C16" s="39">
        <v>16000</v>
      </c>
      <c r="D16" s="4">
        <f t="shared" si="0"/>
        <v>0.22222222222222232</v>
      </c>
      <c r="E16" s="4">
        <f t="shared" si="0"/>
        <v>0.23076923076923084</v>
      </c>
    </row>
    <row r="17" spans="1:5">
      <c r="A17">
        <v>2011</v>
      </c>
      <c r="B17" s="3">
        <v>1200000</v>
      </c>
      <c r="C17" s="39">
        <v>18000</v>
      </c>
      <c r="D17" s="4">
        <f t="shared" si="0"/>
        <v>9.0909090909090828E-2</v>
      </c>
      <c r="E17" s="4">
        <f t="shared" si="0"/>
        <v>0.125</v>
      </c>
    </row>
    <row r="19" spans="1:5">
      <c r="B19" s="1" t="s">
        <v>2</v>
      </c>
      <c r="C19" s="1"/>
      <c r="D19" s="5">
        <f>AVERAGE(D15:D17)</f>
        <v>4.3771043771043794E-2</v>
      </c>
      <c r="E19" s="5">
        <f>AVERAGE(E15:E17)</f>
        <v>7.4145299145299173E-2</v>
      </c>
    </row>
    <row r="38" spans="1:5">
      <c r="A38" s="11" t="s">
        <v>66</v>
      </c>
    </row>
    <row r="40" spans="1:5">
      <c r="B40" s="2" t="s">
        <v>7</v>
      </c>
      <c r="D40" s="3">
        <v>850000</v>
      </c>
      <c r="E40" s="7">
        <f>D40/$D$44</f>
        <v>0.71912013536379016</v>
      </c>
    </row>
    <row r="41" spans="1:5">
      <c r="B41" s="2" t="s">
        <v>17</v>
      </c>
      <c r="D41" s="3">
        <v>311000</v>
      </c>
      <c r="E41" s="7">
        <f>D41/$D$44</f>
        <v>0.26311336717428085</v>
      </c>
    </row>
    <row r="42" spans="1:5">
      <c r="B42" s="2" t="s">
        <v>8</v>
      </c>
      <c r="D42" s="3">
        <v>9000</v>
      </c>
      <c r="E42" s="7">
        <f>D42/$D$44</f>
        <v>7.6142131979695434E-3</v>
      </c>
    </row>
    <row r="43" spans="1:5">
      <c r="B43" s="2" t="s">
        <v>9</v>
      </c>
      <c r="D43" s="6">
        <v>12000</v>
      </c>
      <c r="E43" s="8">
        <f>D43/$D$44</f>
        <v>1.015228426395939E-2</v>
      </c>
    </row>
    <row r="44" spans="1:5">
      <c r="C44" s="1" t="s">
        <v>6</v>
      </c>
      <c r="D44" s="3">
        <f>SUM(D40:D43)</f>
        <v>1182000</v>
      </c>
      <c r="E44" s="7">
        <f>D44/$D$44</f>
        <v>1</v>
      </c>
    </row>
    <row r="47" spans="1:5">
      <c r="B47" s="2" t="s">
        <v>24</v>
      </c>
    </row>
    <row r="48" spans="1:5">
      <c r="C48" s="1" t="s">
        <v>21</v>
      </c>
      <c r="D48" s="3">
        <f>D43</f>
        <v>12000</v>
      </c>
    </row>
    <row r="49" spans="3:4">
      <c r="C49" s="1" t="s">
        <v>22</v>
      </c>
      <c r="D49" s="6">
        <f>30000</f>
        <v>30000</v>
      </c>
    </row>
    <row r="50" spans="3:4">
      <c r="C50" s="1" t="s">
        <v>23</v>
      </c>
      <c r="D50" s="12">
        <f>D48/D49</f>
        <v>0.4</v>
      </c>
    </row>
    <row r="67" spans="1:5">
      <c r="A67" s="11" t="s">
        <v>66</v>
      </c>
    </row>
    <row r="69" spans="1:5">
      <c r="B69" s="2" t="s">
        <v>18</v>
      </c>
      <c r="D69" s="3">
        <v>34000</v>
      </c>
      <c r="E69" s="7">
        <f>D69/$D$73</f>
        <v>0.10625</v>
      </c>
    </row>
    <row r="70" spans="1:5">
      <c r="B70" s="9" t="s">
        <v>10</v>
      </c>
      <c r="D70" s="3">
        <v>80000</v>
      </c>
      <c r="E70" s="7">
        <f>D70/$D$73</f>
        <v>0.25</v>
      </c>
    </row>
    <row r="71" spans="1:5">
      <c r="B71" s="9" t="s">
        <v>11</v>
      </c>
      <c r="D71" s="3">
        <v>170000</v>
      </c>
      <c r="E71" s="7">
        <f>D71/$D$73</f>
        <v>0.53125</v>
      </c>
    </row>
    <row r="72" spans="1:5">
      <c r="B72" s="2" t="s">
        <v>19</v>
      </c>
      <c r="D72" s="6">
        <f>40000-4000</f>
        <v>36000</v>
      </c>
      <c r="E72" s="8">
        <f>D72/$D$73</f>
        <v>0.1125</v>
      </c>
    </row>
    <row r="73" spans="1:5">
      <c r="C73" s="35" t="s">
        <v>6</v>
      </c>
      <c r="D73" s="36">
        <f>SUM(D69:D72)</f>
        <v>320000</v>
      </c>
      <c r="E73" s="7">
        <f>D73/$D$73</f>
        <v>1</v>
      </c>
    </row>
    <row r="95" spans="1:1">
      <c r="A95" s="11" t="s">
        <v>66</v>
      </c>
    </row>
    <row r="97" spans="2:5">
      <c r="B97" s="9" t="s">
        <v>14</v>
      </c>
      <c r="D97" s="3">
        <v>35000</v>
      </c>
      <c r="E97" s="7">
        <f t="shared" ref="E97:E102" si="1">D97/$D$102</f>
        <v>0.109375</v>
      </c>
    </row>
    <row r="98" spans="2:5">
      <c r="B98" s="9" t="s">
        <v>15</v>
      </c>
      <c r="D98" s="3">
        <v>20000</v>
      </c>
      <c r="E98" s="7">
        <f t="shared" si="1"/>
        <v>6.25E-2</v>
      </c>
    </row>
    <row r="99" spans="2:5">
      <c r="B99" s="9" t="s">
        <v>16</v>
      </c>
      <c r="D99" s="3">
        <v>12000</v>
      </c>
      <c r="E99" s="7">
        <f t="shared" si="1"/>
        <v>3.7499999999999999E-2</v>
      </c>
    </row>
    <row r="100" spans="2:5">
      <c r="B100" s="9" t="s">
        <v>12</v>
      </c>
      <c r="D100" s="3">
        <v>50000</v>
      </c>
      <c r="E100" s="7">
        <f t="shared" si="1"/>
        <v>0.15625</v>
      </c>
    </row>
    <row r="101" spans="2:5">
      <c r="B101" s="2" t="s">
        <v>13</v>
      </c>
      <c r="D101" s="6">
        <v>203000</v>
      </c>
      <c r="E101" s="8">
        <f t="shared" si="1"/>
        <v>0.63437500000000002</v>
      </c>
    </row>
    <row r="102" spans="2:5">
      <c r="C102" s="35" t="s">
        <v>6</v>
      </c>
      <c r="D102" s="36">
        <f>SUM(D97:D101)</f>
        <v>320000</v>
      </c>
      <c r="E102" s="7">
        <f t="shared" si="1"/>
        <v>1</v>
      </c>
    </row>
  </sheetData>
  <mergeCells count="2">
    <mergeCell ref="A1:N1"/>
    <mergeCell ref="A2:N2"/>
  </mergeCells>
  <phoneticPr fontId="2" type="noConversion"/>
  <pageMargins left="0.14000000000000001" right="0.18" top="0.7" bottom="0.19" header="0.22" footer="0.14000000000000001"/>
  <pageSetup scale="93" fitToHeight="10" orientation="landscape" r:id="rId1"/>
  <headerFooter alignWithMargins="0">
    <oddFooter>Page &amp;P</oddFooter>
  </headerFooter>
  <rowBreaks count="3" manualBreakCount="3">
    <brk id="36" max="16383" man="1"/>
    <brk id="65" max="16383" man="1"/>
    <brk id="9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13255-BE4B-4D05-A07B-0DE3C4B9C6EB}">
  <dimension ref="A4:E124"/>
  <sheetViews>
    <sheetView zoomScale="82" workbookViewId="0">
      <selection activeCell="D106" sqref="D106"/>
    </sheetView>
  </sheetViews>
  <sheetFormatPr defaultRowHeight="12.75"/>
  <cols>
    <col min="1" max="1" width="22.7109375" bestFit="1" customWidth="1"/>
    <col min="3" max="3" width="16.140625" bestFit="1" customWidth="1"/>
    <col min="4" max="4" width="12.140625" bestFit="1" customWidth="1"/>
    <col min="5" max="5" width="17" bestFit="1" customWidth="1"/>
  </cols>
  <sheetData>
    <row r="4" spans="1:5">
      <c r="A4" s="1" t="s">
        <v>0</v>
      </c>
      <c r="B4" s="37" t="s">
        <v>1</v>
      </c>
      <c r="C4" s="38" t="s">
        <v>3</v>
      </c>
      <c r="D4" s="1" t="s">
        <v>5</v>
      </c>
      <c r="E4" s="1" t="s">
        <v>4</v>
      </c>
    </row>
    <row r="6" spans="1:5">
      <c r="A6">
        <v>2021</v>
      </c>
      <c r="B6" s="3">
        <v>8200</v>
      </c>
      <c r="C6" s="39">
        <v>1500</v>
      </c>
    </row>
    <row r="7" spans="1:5">
      <c r="A7">
        <v>2022</v>
      </c>
      <c r="B7" s="3">
        <v>8000</v>
      </c>
      <c r="C7" s="39">
        <v>1400</v>
      </c>
      <c r="D7" s="4">
        <f t="shared" ref="D7:E9" si="0">(B7/B6)-1</f>
        <v>-2.4390243902439046E-2</v>
      </c>
      <c r="E7" s="4">
        <f t="shared" si="0"/>
        <v>-6.6666666666666652E-2</v>
      </c>
    </row>
    <row r="8" spans="1:5">
      <c r="A8">
        <v>2023</v>
      </c>
      <c r="B8" s="3">
        <v>9000</v>
      </c>
      <c r="C8" s="39">
        <v>1600</v>
      </c>
      <c r="D8" s="4">
        <f t="shared" si="0"/>
        <v>0.125</v>
      </c>
      <c r="E8" s="4">
        <f t="shared" si="0"/>
        <v>0.14285714285714279</v>
      </c>
    </row>
    <row r="9" spans="1:5">
      <c r="A9">
        <v>2024</v>
      </c>
      <c r="B9" s="3">
        <v>10000</v>
      </c>
      <c r="C9" s="39">
        <v>1800</v>
      </c>
      <c r="D9" s="4">
        <f t="shared" si="0"/>
        <v>0.11111111111111116</v>
      </c>
      <c r="E9" s="4">
        <f t="shared" si="0"/>
        <v>0.125</v>
      </c>
    </row>
    <row r="11" spans="1:5">
      <c r="B11" s="1" t="s">
        <v>2</v>
      </c>
      <c r="C11" s="1"/>
      <c r="D11" s="5">
        <f>AVERAGE(D7:D9)</f>
        <v>7.0573622402890709E-2</v>
      </c>
      <c r="E11" s="5">
        <f>AVERAGE(E7:E9)</f>
        <v>6.7063492063492047E-2</v>
      </c>
    </row>
    <row r="35" spans="2:5">
      <c r="B35" s="2" t="s">
        <v>7</v>
      </c>
      <c r="D35" s="3">
        <v>4000</v>
      </c>
      <c r="E35" s="7">
        <f>D35/D39</f>
        <v>0.48780487804878048</v>
      </c>
    </row>
    <row r="36" spans="2:5">
      <c r="B36" s="2" t="s">
        <v>17</v>
      </c>
      <c r="D36" s="3">
        <v>3000</v>
      </c>
      <c r="E36" s="7">
        <f>D36/D39</f>
        <v>0.36585365853658536</v>
      </c>
    </row>
    <row r="37" spans="2:5">
      <c r="B37" s="2" t="s">
        <v>8</v>
      </c>
      <c r="D37" s="3">
        <v>200</v>
      </c>
      <c r="E37" s="7">
        <f>D37/D39</f>
        <v>2.4390243902439025E-2</v>
      </c>
    </row>
    <row r="38" spans="2:5">
      <c r="B38" s="2" t="s">
        <v>9</v>
      </c>
      <c r="D38" s="6">
        <v>1000</v>
      </c>
      <c r="E38" s="7">
        <f>D38/D39</f>
        <v>0.12195121951219512</v>
      </c>
    </row>
    <row r="39" spans="2:5">
      <c r="C39" s="1" t="s">
        <v>6</v>
      </c>
      <c r="D39" s="3">
        <f>SUM(D35:D38)</f>
        <v>8200</v>
      </c>
      <c r="E39" s="7">
        <f>D39/D39</f>
        <v>1</v>
      </c>
    </row>
    <row r="42" spans="2:5">
      <c r="B42" s="2" t="s">
        <v>24</v>
      </c>
    </row>
    <row r="43" spans="2:5">
      <c r="C43" s="1" t="s">
        <v>21</v>
      </c>
      <c r="D43" s="3">
        <f>D38</f>
        <v>1000</v>
      </c>
    </row>
    <row r="44" spans="2:5">
      <c r="C44" s="1" t="s">
        <v>22</v>
      </c>
      <c r="D44" s="6">
        <v>2800</v>
      </c>
    </row>
    <row r="45" spans="2:5">
      <c r="C45" s="1" t="s">
        <v>23</v>
      </c>
      <c r="D45" s="12">
        <f>D43/D44</f>
        <v>0.35714285714285715</v>
      </c>
    </row>
    <row r="70" spans="1:4">
      <c r="A70" s="2" t="s">
        <v>18</v>
      </c>
      <c r="C70" s="3">
        <v>5000</v>
      </c>
      <c r="D70" s="7">
        <f>C70/$C$74</f>
        <v>0.125</v>
      </c>
    </row>
    <row r="71" spans="1:4">
      <c r="A71" s="9" t="s">
        <v>10</v>
      </c>
      <c r="C71" s="3">
        <v>3000</v>
      </c>
      <c r="D71" s="7">
        <f>C71/$C$74</f>
        <v>7.4999999999999997E-2</v>
      </c>
    </row>
    <row r="72" spans="1:4">
      <c r="A72" s="9" t="s">
        <v>11</v>
      </c>
      <c r="C72" s="3">
        <v>17000</v>
      </c>
      <c r="D72" s="7">
        <f>C72/$C$74</f>
        <v>0.42499999999999999</v>
      </c>
    </row>
    <row r="73" spans="1:4">
      <c r="A73" s="2" t="s">
        <v>19</v>
      </c>
      <c r="C73" s="6">
        <v>15000</v>
      </c>
      <c r="D73" s="7">
        <f>C73/$C$74</f>
        <v>0.375</v>
      </c>
    </row>
    <row r="74" spans="1:4">
      <c r="B74" s="35" t="s">
        <v>6</v>
      </c>
      <c r="C74" s="36">
        <f>SUM(C70:C73)</f>
        <v>40000</v>
      </c>
      <c r="D74" s="7">
        <f>C74/$C$74</f>
        <v>1</v>
      </c>
    </row>
    <row r="93" spans="1:4">
      <c r="A93" s="9" t="s">
        <v>14</v>
      </c>
      <c r="C93" s="3">
        <v>17000</v>
      </c>
      <c r="D93" s="42">
        <f t="shared" ref="D93:D98" si="1">C93/$C$98</f>
        <v>0.22972972972972974</v>
      </c>
    </row>
    <row r="94" spans="1:4">
      <c r="A94" s="9" t="s">
        <v>15</v>
      </c>
      <c r="C94" s="40">
        <v>17000</v>
      </c>
      <c r="D94" s="42">
        <f t="shared" si="1"/>
        <v>0.22972972972972974</v>
      </c>
    </row>
    <row r="95" spans="1:4">
      <c r="A95" s="9" t="s">
        <v>16</v>
      </c>
      <c r="C95" s="3">
        <v>17000</v>
      </c>
      <c r="D95" s="42">
        <f t="shared" si="1"/>
        <v>0.22972972972972974</v>
      </c>
    </row>
    <row r="96" spans="1:4">
      <c r="A96" s="9" t="s">
        <v>12</v>
      </c>
      <c r="C96" s="3">
        <v>3000</v>
      </c>
      <c r="D96" s="42">
        <f t="shared" si="1"/>
        <v>4.0540540540540543E-2</v>
      </c>
    </row>
    <row r="97" spans="1:4">
      <c r="A97" s="2" t="s">
        <v>13</v>
      </c>
      <c r="C97" s="40">
        <v>20000</v>
      </c>
      <c r="D97" s="42">
        <f t="shared" si="1"/>
        <v>0.27027027027027029</v>
      </c>
    </row>
    <row r="98" spans="1:4">
      <c r="B98" s="35" t="s">
        <v>6</v>
      </c>
      <c r="C98" s="36">
        <f>SUM(C93:C97)</f>
        <v>74000</v>
      </c>
      <c r="D98" s="42">
        <f t="shared" si="1"/>
        <v>1</v>
      </c>
    </row>
    <row r="100" spans="1:4">
      <c r="A100" t="s">
        <v>68</v>
      </c>
      <c r="B100" t="s">
        <v>69</v>
      </c>
    </row>
    <row r="101" spans="1:4">
      <c r="B101">
        <f>20000 - 3000</f>
        <v>17000</v>
      </c>
    </row>
    <row r="116" spans="1:2">
      <c r="B116" s="40"/>
    </row>
    <row r="117" spans="1:2">
      <c r="B117" s="40"/>
    </row>
    <row r="118" spans="1:2">
      <c r="B118" s="40"/>
    </row>
    <row r="120" spans="1:2">
      <c r="B120" s="41"/>
    </row>
    <row r="121" spans="1:2">
      <c r="B121" s="40"/>
    </row>
    <row r="123" spans="1:2">
      <c r="B123" s="40"/>
    </row>
    <row r="124" spans="1:2">
      <c r="A124" t="s">
        <v>67</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4C08E-A157-4339-9E2B-BE848D8157C4}">
  <dimension ref="A1:F57"/>
  <sheetViews>
    <sheetView workbookViewId="0">
      <selection activeCell="A14" sqref="A14"/>
    </sheetView>
  </sheetViews>
  <sheetFormatPr defaultRowHeight="12.75"/>
  <cols>
    <col min="1" max="1" width="53.140625" bestFit="1" customWidth="1"/>
    <col min="2" max="6" width="10.140625" bestFit="1" customWidth="1"/>
  </cols>
  <sheetData>
    <row r="1" spans="1:6">
      <c r="A1" t="s">
        <v>70</v>
      </c>
      <c r="B1">
        <v>2023</v>
      </c>
      <c r="C1">
        <v>2022</v>
      </c>
      <c r="D1">
        <v>2021</v>
      </c>
      <c r="E1">
        <v>2020</v>
      </c>
      <c r="F1">
        <v>2019</v>
      </c>
    </row>
    <row r="2" spans="1:6">
      <c r="A2" t="s">
        <v>71</v>
      </c>
      <c r="B2" s="43">
        <v>769365</v>
      </c>
      <c r="C2" s="43">
        <v>686970</v>
      </c>
      <c r="D2" s="43">
        <v>570776</v>
      </c>
      <c r="E2" s="43">
        <v>471063</v>
      </c>
      <c r="F2" s="43">
        <v>527113</v>
      </c>
    </row>
    <row r="3" spans="1:6">
      <c r="A3" t="s">
        <v>72</v>
      </c>
      <c r="B3" s="43">
        <v>511940</v>
      </c>
      <c r="C3" s="43">
        <v>454586</v>
      </c>
      <c r="D3" s="43">
        <v>373683</v>
      </c>
      <c r="E3" s="43">
        <v>300455</v>
      </c>
      <c r="F3" s="43">
        <v>329482</v>
      </c>
    </row>
    <row r="4" spans="1:6">
      <c r="A4" t="s">
        <v>73</v>
      </c>
      <c r="B4" s="43">
        <v>493697</v>
      </c>
      <c r="C4" s="43">
        <v>436918</v>
      </c>
      <c r="D4" s="43">
        <v>356113</v>
      </c>
      <c r="E4" s="43">
        <v>282271</v>
      </c>
      <c r="F4" s="43">
        <v>310703</v>
      </c>
    </row>
    <row r="5" spans="1:6">
      <c r="A5" t="s">
        <v>74</v>
      </c>
      <c r="B5" s="43">
        <v>18243</v>
      </c>
      <c r="C5" s="43">
        <v>17668</v>
      </c>
      <c r="D5" s="43">
        <v>17570</v>
      </c>
      <c r="E5" s="43">
        <v>18184</v>
      </c>
      <c r="F5" s="43">
        <v>18779</v>
      </c>
    </row>
    <row r="6" spans="1:6">
      <c r="A6" t="s">
        <v>75</v>
      </c>
      <c r="B6" s="43">
        <v>18243</v>
      </c>
      <c r="C6" s="43">
        <v>17668</v>
      </c>
      <c r="D6" s="43">
        <v>17570</v>
      </c>
      <c r="E6" s="43">
        <v>18184</v>
      </c>
      <c r="F6" s="43">
        <v>18779</v>
      </c>
    </row>
    <row r="7" spans="1:6">
      <c r="A7" t="s">
        <v>76</v>
      </c>
      <c r="B7" s="44">
        <v>0.12620000000000001</v>
      </c>
      <c r="C7" s="44">
        <v>0.2165</v>
      </c>
      <c r="D7" s="44">
        <v>0.2437</v>
      </c>
      <c r="E7" s="44">
        <v>-8.8099999999999998E-2</v>
      </c>
      <c r="F7" t="s">
        <v>77</v>
      </c>
    </row>
    <row r="9" spans="1:6">
      <c r="A9" t="s">
        <v>78</v>
      </c>
      <c r="B9" s="43">
        <v>257425</v>
      </c>
      <c r="C9" s="43">
        <v>232384</v>
      </c>
      <c r="D9" s="43">
        <v>197093</v>
      </c>
      <c r="E9" s="43">
        <v>170608</v>
      </c>
      <c r="F9" s="43">
        <v>197631</v>
      </c>
    </row>
    <row r="10" spans="1:6">
      <c r="A10" t="s">
        <v>79</v>
      </c>
      <c r="B10" s="44">
        <v>0.10780000000000001</v>
      </c>
      <c r="C10" s="44">
        <v>0.17910000000000001</v>
      </c>
      <c r="D10" s="44">
        <v>0.1552</v>
      </c>
      <c r="E10" s="44">
        <v>-0.13669999999999999</v>
      </c>
      <c r="F10" t="s">
        <v>77</v>
      </c>
    </row>
    <row r="12" spans="1:6">
      <c r="A12" t="s">
        <v>80</v>
      </c>
      <c r="B12" s="44">
        <v>0.33460000000000001</v>
      </c>
      <c r="C12" t="s">
        <v>77</v>
      </c>
      <c r="D12" t="s">
        <v>77</v>
      </c>
      <c r="E12" t="s">
        <v>77</v>
      </c>
      <c r="F12" t="s">
        <v>77</v>
      </c>
    </row>
    <row r="13" spans="1:6">
      <c r="A13" t="s">
        <v>81</v>
      </c>
      <c r="B13" s="43">
        <v>155012</v>
      </c>
      <c r="C13" s="43">
        <v>121976</v>
      </c>
      <c r="D13" s="43">
        <v>132108</v>
      </c>
      <c r="E13" s="43">
        <v>112117</v>
      </c>
      <c r="F13" s="43">
        <v>127425</v>
      </c>
    </row>
    <row r="14" spans="1:6">
      <c r="A14" t="s">
        <v>82</v>
      </c>
      <c r="B14" s="43">
        <v>155012</v>
      </c>
      <c r="C14" s="43">
        <v>121976</v>
      </c>
      <c r="D14" s="43">
        <v>132108</v>
      </c>
      <c r="E14" s="43">
        <v>112117</v>
      </c>
      <c r="F14" s="43">
        <v>127425</v>
      </c>
    </row>
    <row r="15" spans="1:6">
      <c r="A15" t="s">
        <v>83</v>
      </c>
      <c r="B15" s="44">
        <v>0.27079999999999999</v>
      </c>
      <c r="C15" s="44">
        <v>-7.6700000000000004E-2</v>
      </c>
      <c r="D15" s="44">
        <v>0.17829999999999999</v>
      </c>
      <c r="E15" s="44">
        <v>-0.1201</v>
      </c>
      <c r="F15" t="s">
        <v>77</v>
      </c>
    </row>
    <row r="17" spans="1:6">
      <c r="A17" t="s">
        <v>51</v>
      </c>
      <c r="B17" s="43">
        <v>102413</v>
      </c>
      <c r="C17" s="43">
        <v>110408</v>
      </c>
      <c r="D17" s="43">
        <v>64985</v>
      </c>
      <c r="E17" s="43">
        <v>58491</v>
      </c>
      <c r="F17" s="43">
        <v>70206</v>
      </c>
    </row>
    <row r="18" spans="1:6">
      <c r="A18" t="s">
        <v>84</v>
      </c>
      <c r="B18" t="s">
        <v>77</v>
      </c>
      <c r="C18" t="s">
        <v>77</v>
      </c>
      <c r="D18" t="s">
        <v>77</v>
      </c>
      <c r="E18" t="s">
        <v>77</v>
      </c>
      <c r="F18">
        <v>377</v>
      </c>
    </row>
    <row r="19" spans="1:6">
      <c r="A19" t="s">
        <v>85</v>
      </c>
      <c r="B19" s="43">
        <v>12607</v>
      </c>
      <c r="C19" s="43">
        <v>-14804</v>
      </c>
      <c r="D19" s="43">
        <v>18050</v>
      </c>
      <c r="E19" s="43">
        <v>13930</v>
      </c>
      <c r="F19" s="43">
        <v>11372</v>
      </c>
    </row>
    <row r="21" spans="1:6">
      <c r="A21" t="s">
        <v>86</v>
      </c>
      <c r="B21" s="43">
        <v>5211</v>
      </c>
      <c r="C21" s="43">
        <v>2641</v>
      </c>
      <c r="D21" s="43">
        <v>2740</v>
      </c>
      <c r="E21" s="43">
        <v>4005</v>
      </c>
      <c r="F21" s="43">
        <v>4423</v>
      </c>
    </row>
    <row r="22" spans="1:6">
      <c r="A22" t="s">
        <v>8</v>
      </c>
      <c r="B22">
        <v>337</v>
      </c>
      <c r="C22">
        <v>104</v>
      </c>
      <c r="D22">
        <v>46</v>
      </c>
      <c r="E22">
        <v>164</v>
      </c>
      <c r="F22">
        <v>220</v>
      </c>
    </row>
    <row r="23" spans="1:6">
      <c r="A23" t="s">
        <v>87</v>
      </c>
      <c r="B23" s="44">
        <v>2.2404000000000002</v>
      </c>
      <c r="C23" s="44">
        <v>1.2608999999999999</v>
      </c>
      <c r="D23" s="44">
        <v>-0.71950000000000003</v>
      </c>
      <c r="E23" s="44">
        <v>-0.2545</v>
      </c>
      <c r="F23" t="s">
        <v>77</v>
      </c>
    </row>
    <row r="25" spans="1:6">
      <c r="A25" t="s">
        <v>88</v>
      </c>
      <c r="B25">
        <v>337</v>
      </c>
      <c r="C25">
        <v>104</v>
      </c>
      <c r="D25">
        <v>46</v>
      </c>
      <c r="E25">
        <v>164</v>
      </c>
      <c r="F25">
        <v>220</v>
      </c>
    </row>
    <row r="26" spans="1:6">
      <c r="A26" t="s">
        <v>89</v>
      </c>
      <c r="B26" s="43">
        <v>119894</v>
      </c>
      <c r="C26" s="43">
        <v>98141</v>
      </c>
      <c r="D26" s="43">
        <v>85729</v>
      </c>
      <c r="E26" s="43">
        <v>76262</v>
      </c>
      <c r="F26" s="43">
        <v>85404</v>
      </c>
    </row>
    <row r="27" spans="1:6">
      <c r="A27" t="s">
        <v>90</v>
      </c>
      <c r="B27" s="44">
        <v>0.22170000000000001</v>
      </c>
      <c r="C27" s="44">
        <v>0.14480000000000001</v>
      </c>
      <c r="D27" s="44">
        <v>0.1241</v>
      </c>
      <c r="E27" s="44">
        <v>-0.107</v>
      </c>
      <c r="F27" t="s">
        <v>77</v>
      </c>
    </row>
    <row r="29" spans="1:6">
      <c r="A29" t="s">
        <v>91</v>
      </c>
      <c r="B29" s="44">
        <v>0.15579999999999999</v>
      </c>
      <c r="C29" t="s">
        <v>77</v>
      </c>
      <c r="D29" t="s">
        <v>77</v>
      </c>
      <c r="E29" t="s">
        <v>77</v>
      </c>
      <c r="F29" t="s">
        <v>77</v>
      </c>
    </row>
    <row r="30" spans="1:6">
      <c r="A30" t="s">
        <v>9</v>
      </c>
      <c r="B30" s="43">
        <v>28008</v>
      </c>
      <c r="C30" s="43">
        <v>22249</v>
      </c>
      <c r="D30" s="43">
        <v>20421</v>
      </c>
      <c r="E30" s="43">
        <v>17288</v>
      </c>
      <c r="F30" s="43">
        <v>20565</v>
      </c>
    </row>
    <row r="31" spans="1:6">
      <c r="A31" t="s">
        <v>92</v>
      </c>
      <c r="B31" s="43">
        <v>25448</v>
      </c>
      <c r="C31" s="43">
        <v>15675</v>
      </c>
      <c r="D31" s="43">
        <v>19708</v>
      </c>
      <c r="E31" s="43">
        <v>16594</v>
      </c>
      <c r="F31" s="43">
        <v>18075</v>
      </c>
    </row>
    <row r="32" spans="1:6">
      <c r="A32" t="s">
        <v>93</v>
      </c>
      <c r="B32" s="43">
        <v>3775</v>
      </c>
      <c r="C32" s="43">
        <v>4110</v>
      </c>
      <c r="D32" s="43">
        <v>1983</v>
      </c>
      <c r="E32" s="43">
        <v>1029</v>
      </c>
      <c r="F32" t="s">
        <v>77</v>
      </c>
    </row>
    <row r="33" spans="1:6">
      <c r="A33" t="s">
        <v>94</v>
      </c>
      <c r="B33" s="43">
        <v>-1873</v>
      </c>
      <c r="C33" s="43">
        <v>2383</v>
      </c>
      <c r="D33" s="43">
        <v>-1309</v>
      </c>
      <c r="E33" s="43">
        <v>-1651</v>
      </c>
      <c r="F33">
        <v>68</v>
      </c>
    </row>
    <row r="35" spans="1:6">
      <c r="A35" t="s">
        <v>95</v>
      </c>
      <c r="B35">
        <v>658</v>
      </c>
      <c r="C35">
        <v>81</v>
      </c>
      <c r="D35">
        <v>39</v>
      </c>
      <c r="E35" s="43">
        <v>1316</v>
      </c>
      <c r="F35" s="43">
        <v>2422</v>
      </c>
    </row>
    <row r="36" spans="1:6">
      <c r="A36" t="s">
        <v>96</v>
      </c>
      <c r="B36" s="43">
        <v>91886</v>
      </c>
      <c r="C36" s="43">
        <v>75892</v>
      </c>
      <c r="D36" s="43">
        <v>65308</v>
      </c>
      <c r="E36" s="43">
        <v>58974</v>
      </c>
      <c r="F36" s="43">
        <v>64839</v>
      </c>
    </row>
    <row r="37" spans="1:6">
      <c r="A37" t="s">
        <v>97</v>
      </c>
      <c r="B37">
        <v>-26</v>
      </c>
      <c r="C37">
        <v>-45</v>
      </c>
      <c r="D37">
        <v>-18</v>
      </c>
      <c r="E37">
        <v>-21</v>
      </c>
      <c r="F37">
        <v>-81</v>
      </c>
    </row>
    <row r="39" spans="1:6">
      <c r="A39" t="s">
        <v>3</v>
      </c>
      <c r="B39" s="43">
        <v>91912</v>
      </c>
      <c r="C39" s="43">
        <v>75937</v>
      </c>
      <c r="D39" s="43">
        <v>65326</v>
      </c>
      <c r="E39" s="43">
        <v>58995</v>
      </c>
      <c r="F39" s="43">
        <v>64920</v>
      </c>
    </row>
    <row r="40" spans="1:6">
      <c r="A40" t="s">
        <v>4</v>
      </c>
      <c r="B40" s="44">
        <v>0.2104</v>
      </c>
      <c r="C40" s="44">
        <v>0.16239999999999999</v>
      </c>
      <c r="D40" s="44">
        <v>0.10730000000000001</v>
      </c>
      <c r="E40" s="44">
        <v>-9.1300000000000006E-2</v>
      </c>
      <c r="F40" t="s">
        <v>77</v>
      </c>
    </row>
    <row r="42" spans="1:6">
      <c r="A42" t="s">
        <v>98</v>
      </c>
      <c r="B42" s="44">
        <v>0.1195</v>
      </c>
      <c r="C42" t="s">
        <v>77</v>
      </c>
      <c r="D42" t="s">
        <v>77</v>
      </c>
      <c r="E42" t="s">
        <v>77</v>
      </c>
      <c r="F42" t="s">
        <v>77</v>
      </c>
    </row>
    <row r="43" spans="1:6">
      <c r="A43" t="s">
        <v>99</v>
      </c>
      <c r="B43" s="43">
        <v>91912</v>
      </c>
      <c r="C43" s="43">
        <v>75937</v>
      </c>
      <c r="D43" s="43">
        <v>65326</v>
      </c>
      <c r="E43" s="43">
        <v>58995</v>
      </c>
      <c r="F43" s="43">
        <v>64920</v>
      </c>
    </row>
    <row r="44" spans="1:6">
      <c r="A44" t="s">
        <v>100</v>
      </c>
      <c r="B44" s="43">
        <v>91912</v>
      </c>
      <c r="C44" s="43">
        <v>75937</v>
      </c>
      <c r="D44" s="43">
        <v>65326</v>
      </c>
      <c r="E44" s="43">
        <v>58995</v>
      </c>
      <c r="F44" s="43">
        <v>64920</v>
      </c>
    </row>
    <row r="45" spans="1:6">
      <c r="A45" t="s">
        <v>101</v>
      </c>
      <c r="B45">
        <v>1.28</v>
      </c>
      <c r="C45">
        <v>1.04</v>
      </c>
      <c r="D45">
        <v>0.89</v>
      </c>
      <c r="E45">
        <v>0.79</v>
      </c>
      <c r="F45">
        <v>0.86</v>
      </c>
    </row>
    <row r="46" spans="1:6">
      <c r="A46" t="s">
        <v>102</v>
      </c>
      <c r="B46" s="44">
        <v>0.22889999999999999</v>
      </c>
      <c r="C46" s="44">
        <v>0.1729</v>
      </c>
      <c r="D46" s="44">
        <v>0.125</v>
      </c>
      <c r="E46" s="44">
        <v>-7.8600000000000003E-2</v>
      </c>
      <c r="F46" t="s">
        <v>77</v>
      </c>
    </row>
    <row r="48" spans="1:6">
      <c r="A48" t="s">
        <v>103</v>
      </c>
      <c r="B48" s="43">
        <v>71921.8</v>
      </c>
      <c r="C48" s="43">
        <v>73020.7</v>
      </c>
      <c r="D48" s="43">
        <v>73683.7</v>
      </c>
      <c r="E48" s="43">
        <v>74859.8</v>
      </c>
      <c r="F48" s="43">
        <v>75902.3</v>
      </c>
    </row>
    <row r="49" spans="1:6">
      <c r="A49" t="s">
        <v>104</v>
      </c>
      <c r="B49">
        <v>1.28</v>
      </c>
      <c r="C49">
        <v>1.04</v>
      </c>
      <c r="D49">
        <v>0.89</v>
      </c>
      <c r="E49">
        <v>0.79</v>
      </c>
      <c r="F49">
        <v>0.86</v>
      </c>
    </row>
    <row r="50" spans="1:6">
      <c r="A50" t="s">
        <v>105</v>
      </c>
      <c r="B50" s="44">
        <v>0.22889999999999999</v>
      </c>
      <c r="C50" s="44">
        <v>0.17299999999999999</v>
      </c>
      <c r="D50" s="44">
        <v>0.125</v>
      </c>
      <c r="E50" s="44">
        <v>-7.8600000000000003E-2</v>
      </c>
      <c r="F50" t="s">
        <v>77</v>
      </c>
    </row>
    <row r="52" spans="1:6">
      <c r="A52" t="s">
        <v>106</v>
      </c>
      <c r="B52" s="43">
        <v>71921.8</v>
      </c>
      <c r="C52" s="43">
        <v>73020.7</v>
      </c>
      <c r="D52" s="43">
        <v>73683.7</v>
      </c>
      <c r="E52" s="43">
        <v>74859.8</v>
      </c>
      <c r="F52" s="43">
        <v>75902.3</v>
      </c>
    </row>
    <row r="53" spans="1:6">
      <c r="A53" t="s">
        <v>107</v>
      </c>
      <c r="B53" s="43">
        <v>120656</v>
      </c>
      <c r="C53" s="43">
        <v>128076</v>
      </c>
      <c r="D53" s="43">
        <v>82555</v>
      </c>
      <c r="E53" s="43">
        <v>76675</v>
      </c>
      <c r="F53" s="43">
        <v>88985</v>
      </c>
    </row>
    <row r="54" spans="1:6">
      <c r="A54" t="s">
        <v>108</v>
      </c>
      <c r="B54" s="44">
        <v>-5.79E-2</v>
      </c>
      <c r="C54" s="44">
        <v>0.5514</v>
      </c>
      <c r="D54" s="44">
        <v>7.6700000000000004E-2</v>
      </c>
      <c r="E54" s="44">
        <v>-0.13830000000000001</v>
      </c>
      <c r="F54" t="s">
        <v>77</v>
      </c>
    </row>
    <row r="56" spans="1:6">
      <c r="A56" t="s">
        <v>109</v>
      </c>
      <c r="B56" s="44">
        <v>0.15679999999999999</v>
      </c>
      <c r="C56" t="s">
        <v>77</v>
      </c>
      <c r="D56" t="s">
        <v>77</v>
      </c>
      <c r="E56" t="s">
        <v>77</v>
      </c>
      <c r="F56" t="s">
        <v>77</v>
      </c>
    </row>
    <row r="57" spans="1:6">
      <c r="A57" t="s">
        <v>51</v>
      </c>
      <c r="B57" s="43">
        <v>102413</v>
      </c>
      <c r="C57" s="43">
        <v>110408</v>
      </c>
      <c r="D57" s="43">
        <v>64985</v>
      </c>
      <c r="E57" s="43">
        <v>58491</v>
      </c>
      <c r="F57" s="43">
        <v>70206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4480A-88D0-4E5D-BAE0-0EF5E3F975B5}">
  <dimension ref="B1:E1"/>
  <sheetViews>
    <sheetView workbookViewId="0">
      <selection activeCell="A2" sqref="A2"/>
    </sheetView>
  </sheetViews>
  <sheetFormatPr defaultRowHeight="12.75"/>
  <sheetData>
    <row r="1" spans="2:5">
      <c r="B1">
        <v>2023</v>
      </c>
      <c r="C1">
        <v>2022</v>
      </c>
      <c r="D1">
        <v>2021</v>
      </c>
      <c r="E1">
        <v>2020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FS, TR (2)</vt:lpstr>
      <vt:lpstr>Sheet5</vt:lpstr>
      <vt:lpstr>Sheet1</vt:lpstr>
      <vt:lpstr>Sheet2</vt:lpstr>
      <vt:lpstr>Sheet3</vt:lpstr>
      <vt:lpstr>Sheet4</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Andrew</dc:creator>
  <cp:lastModifiedBy>Rupa Shrestha</cp:lastModifiedBy>
  <cp:lastPrinted>2017-06-12T21:56:34Z</cp:lastPrinted>
  <dcterms:created xsi:type="dcterms:W3CDTF">2005-01-03T22:00:14Z</dcterms:created>
  <dcterms:modified xsi:type="dcterms:W3CDTF">2024-09-15T19:23:12Z</dcterms:modified>
</cp:coreProperties>
</file>