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D:\Webster University\Assignments\Finances\Case study\Ratio Analysis\"/>
    </mc:Choice>
  </mc:AlternateContent>
  <xr:revisionPtr revIDLastSave="0" documentId="13_ncr:1_{F1D02696-047D-4F8D-81B9-634F96551D8B}" xr6:coauthVersionLast="47" xr6:coauthVersionMax="47" xr10:uidLastSave="{00000000-0000-0000-0000-000000000000}"/>
  <bookViews>
    <workbookView xWindow="-120" yWindow="-120" windowWidth="20730" windowHeight="11040" tabRatio="706" xr2:uid="{00000000-000D-0000-FFFF-FFFF00000000}"/>
  </bookViews>
  <sheets>
    <sheet name="Ratios" sheetId="11" r:id="rId1"/>
    <sheet name="Sheet1" sheetId="14" r:id="rId2"/>
    <sheet name="FS, TR" sheetId="13" r:id="rId3"/>
    <sheet name="FS, HSY" sheetId="10" r:id="rId4"/>
  </sheets>
  <definedNames>
    <definedName name="_xlnm.Print_Area" localSheetId="0">Ratios!$B$1:$L$51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5" i="11" l="1"/>
  <c r="I25" i="11" l="1"/>
  <c r="D17" i="11"/>
  <c r="C17" i="11"/>
  <c r="D20" i="11"/>
  <c r="C20" i="11"/>
  <c r="D19" i="11"/>
  <c r="C19" i="11"/>
  <c r="D18" i="11"/>
  <c r="C18" i="11"/>
  <c r="D16" i="11"/>
  <c r="C16" i="11"/>
  <c r="D15" i="11"/>
  <c r="C15" i="11"/>
  <c r="D14" i="11"/>
  <c r="C14" i="11"/>
  <c r="D13" i="11"/>
  <c r="C13" i="11"/>
  <c r="C12" i="11"/>
  <c r="D12" i="11"/>
  <c r="I20" i="11"/>
  <c r="I19" i="11"/>
  <c r="I18" i="11"/>
  <c r="I17" i="11"/>
  <c r="I16" i="11"/>
  <c r="I14" i="11"/>
  <c r="I12" i="11"/>
  <c r="I13" i="11"/>
  <c r="J20" i="11"/>
  <c r="J19" i="11"/>
  <c r="J18" i="11"/>
  <c r="J17" i="11"/>
  <c r="J16" i="11"/>
  <c r="J15" i="11"/>
  <c r="J14" i="11"/>
  <c r="J13" i="11"/>
  <c r="J12" i="11"/>
  <c r="B58" i="10"/>
  <c r="B59" i="10" s="1"/>
  <c r="B35" i="10"/>
  <c r="B44" i="10"/>
  <c r="B48" i="10" s="1"/>
  <c r="B30" i="10"/>
  <c r="B36" i="10" s="1"/>
  <c r="B20" i="10"/>
  <c r="B8" i="10"/>
  <c r="B13" i="10" s="1"/>
  <c r="B16" i="10" s="1"/>
  <c r="B18" i="10" s="1"/>
  <c r="E60" i="13"/>
  <c r="D60" i="13"/>
  <c r="C60" i="13"/>
  <c r="B60" i="13"/>
  <c r="E50" i="13"/>
  <c r="D50" i="13"/>
  <c r="C50" i="13"/>
  <c r="B50" i="13"/>
  <c r="E46" i="13"/>
  <c r="E47" i="13" s="1"/>
  <c r="E51" i="13" s="1"/>
  <c r="E61" i="13" s="1"/>
  <c r="D46" i="13"/>
  <c r="D47" i="13" s="1"/>
  <c r="D51" i="13" s="1"/>
  <c r="D61" i="13" s="1"/>
  <c r="C46" i="13"/>
  <c r="C47" i="13" s="1"/>
  <c r="C51" i="13" s="1"/>
  <c r="C61" i="13" s="1"/>
  <c r="B46" i="13"/>
  <c r="B47" i="13" s="1"/>
  <c r="B51" i="13" s="1"/>
  <c r="B61" i="13" s="1"/>
  <c r="E38" i="13"/>
  <c r="D38" i="13"/>
  <c r="C38" i="13"/>
  <c r="B38" i="13"/>
  <c r="E34" i="13"/>
  <c r="D34" i="13"/>
  <c r="C34" i="13"/>
  <c r="B34" i="13"/>
  <c r="E30" i="13"/>
  <c r="E39" i="13" s="1"/>
  <c r="D30" i="13"/>
  <c r="D39" i="13" s="1"/>
  <c r="E26" i="13"/>
  <c r="D26" i="13"/>
  <c r="C26" i="13"/>
  <c r="B26" i="13"/>
  <c r="E22" i="13"/>
  <c r="D22" i="13"/>
  <c r="C22" i="13"/>
  <c r="C30" i="13" s="1"/>
  <c r="C39" i="13" s="1"/>
  <c r="B22" i="13"/>
  <c r="B30" i="13" s="1"/>
  <c r="B39" i="13" s="1"/>
  <c r="D11" i="13"/>
  <c r="D13" i="13" s="1"/>
  <c r="D16" i="13" s="1"/>
  <c r="C11" i="13"/>
  <c r="C13" i="13" s="1"/>
  <c r="C16" i="13" s="1"/>
  <c r="B10" i="13"/>
  <c r="B11" i="13" s="1"/>
  <c r="B13" i="13" s="1"/>
  <c r="B16" i="13" s="1"/>
  <c r="E9" i="13"/>
  <c r="E11" i="13" s="1"/>
  <c r="E13" i="13" s="1"/>
  <c r="E16" i="13" s="1"/>
  <c r="D9" i="13"/>
  <c r="C9" i="13"/>
  <c r="E8" i="13"/>
  <c r="D8" i="13"/>
  <c r="C8" i="13"/>
  <c r="E58" i="10" l="1"/>
  <c r="D58" i="10"/>
  <c r="C58" i="10"/>
  <c r="E44" i="10"/>
  <c r="E48" i="10" s="1"/>
  <c r="D44" i="10"/>
  <c r="D48" i="10" s="1"/>
  <c r="D59" i="10" s="1"/>
  <c r="C44" i="10"/>
  <c r="C48" i="10" s="1"/>
  <c r="C59" i="10" s="1"/>
  <c r="E35" i="10"/>
  <c r="D35" i="10"/>
  <c r="C35" i="10"/>
  <c r="E30" i="10"/>
  <c r="E36" i="10" s="1"/>
  <c r="D30" i="10"/>
  <c r="D36" i="10" s="1"/>
  <c r="C30" i="10"/>
  <c r="C36" i="10" s="1"/>
  <c r="E22" i="10"/>
  <c r="E8" i="10"/>
  <c r="E13" i="10" s="1"/>
  <c r="E16" i="10" s="1"/>
  <c r="E18" i="10" s="1"/>
  <c r="E20" i="10" s="1"/>
  <c r="D8" i="10"/>
  <c r="D13" i="10" s="1"/>
  <c r="D16" i="10" s="1"/>
  <c r="D18" i="10" s="1"/>
  <c r="D20" i="10" s="1"/>
  <c r="C8" i="10"/>
  <c r="C13" i="10" s="1"/>
  <c r="C16" i="10" s="1"/>
  <c r="C18" i="10" s="1"/>
  <c r="C20" i="10" s="1"/>
  <c r="E59" i="10" l="1"/>
</calcChain>
</file>

<file path=xl/sharedStrings.xml><?xml version="1.0" encoding="utf-8"?>
<sst xmlns="http://schemas.openxmlformats.org/spreadsheetml/2006/main" count="194" uniqueCount="154">
  <si>
    <t>EBIT</t>
  </si>
  <si>
    <t>Accounts payable</t>
  </si>
  <si>
    <t>Accounts receivable</t>
  </si>
  <si>
    <t>Retained earnings</t>
  </si>
  <si>
    <t>Taxes</t>
  </si>
  <si>
    <t>Inventory</t>
  </si>
  <si>
    <t>Gross profit</t>
  </si>
  <si>
    <t xml:space="preserve">ASSETS </t>
  </si>
  <si>
    <t>Current ratio</t>
  </si>
  <si>
    <t>Current assets</t>
  </si>
  <si>
    <t>Net Profit margin</t>
  </si>
  <si>
    <t>LIABILITIES AND EQUITIES</t>
  </si>
  <si>
    <t>Before-tax earnings</t>
  </si>
  <si>
    <t>Net income</t>
  </si>
  <si>
    <t>Current liabilities</t>
  </si>
  <si>
    <t>Less Accum Depreciation</t>
  </si>
  <si>
    <t>Quick ratio</t>
  </si>
  <si>
    <t>Gross Prop &amp; Equip</t>
  </si>
  <si>
    <t>Net Prop &amp; Equip</t>
  </si>
  <si>
    <t>Cash &amp; investments</t>
  </si>
  <si>
    <t>Goodwill</t>
  </si>
  <si>
    <t>Trademarks</t>
  </si>
  <si>
    <t>Other Assets</t>
  </si>
  <si>
    <t>Dividends payable</t>
  </si>
  <si>
    <t>Accrued Liabilities</t>
  </si>
  <si>
    <t>Other liabilities</t>
  </si>
  <si>
    <t>Common stock</t>
  </si>
  <si>
    <t>Capital in excess of par</t>
  </si>
  <si>
    <t>Total revenue</t>
  </si>
  <si>
    <t>COGS &amp; Royalty cost</t>
  </si>
  <si>
    <t>SG &amp; A expenses</t>
  </si>
  <si>
    <t>INCOME STATEMENT</t>
  </si>
  <si>
    <t>BALANCE SHEET, as of Dec 31</t>
  </si>
  <si>
    <t>Financial Statements, Tootsie Roll ($000s)</t>
  </si>
  <si>
    <t>Financial Statements, Hershey Co. ($000s)</t>
  </si>
  <si>
    <t>Tootsie Roll vs The Hershey Co.</t>
  </si>
  <si>
    <t>Hershey</t>
  </si>
  <si>
    <t>COGS</t>
  </si>
  <si>
    <t>Other intangibles</t>
  </si>
  <si>
    <t>Accrued income taxes</t>
  </si>
  <si>
    <t>Long-term debt</t>
  </si>
  <si>
    <t>Additional paid-in capital</t>
  </si>
  <si>
    <t>Current PE Ratio</t>
  </si>
  <si>
    <t>Interest Expense</t>
  </si>
  <si>
    <t>Total Assets</t>
  </si>
  <si>
    <t>Total Liabilities</t>
  </si>
  <si>
    <t>Total Liabilities &amp; Equity</t>
  </si>
  <si>
    <t>Total Equity</t>
  </si>
  <si>
    <t>LIABILITIES AND EQUITY</t>
  </si>
  <si>
    <t>Current Assets</t>
  </si>
  <si>
    <t>Current Liabilities</t>
  </si>
  <si>
    <t>Equity</t>
  </si>
  <si>
    <t>Class B Common Stock</t>
  </si>
  <si>
    <t>Tootsie  Roll</t>
  </si>
  <si>
    <t>Minority Interest</t>
  </si>
  <si>
    <t>Short term Investments</t>
  </si>
  <si>
    <t>Prepaid Expenses</t>
  </si>
  <si>
    <t>Bank Loans</t>
  </si>
  <si>
    <t xml:space="preserve"> </t>
  </si>
  <si>
    <t>Deferred Income Taxes</t>
  </si>
  <si>
    <t>Avg Collection Period</t>
  </si>
  <si>
    <t>Return On Assets</t>
  </si>
  <si>
    <t>Return On Equity</t>
  </si>
  <si>
    <t>Net Income  Attributable to Tootsie Roll Industries</t>
  </si>
  <si>
    <t>Other Receivables</t>
  </si>
  <si>
    <t>Investments</t>
  </si>
  <si>
    <t>Investments (long term)</t>
  </si>
  <si>
    <t>Other current  liabilities</t>
  </si>
  <si>
    <t>Treasury Stock</t>
  </si>
  <si>
    <t>Non-Controllling Interests</t>
  </si>
  <si>
    <t>Total Revenue</t>
  </si>
  <si>
    <t>Debt Ratio</t>
  </si>
  <si>
    <t>Times Interest Earned</t>
  </si>
  <si>
    <t>Other Income (Expense)</t>
  </si>
  <si>
    <t>Property, Plant &amp; Equip, Net</t>
  </si>
  <si>
    <t>Short Term Debt</t>
  </si>
  <si>
    <t>Current Portion, Long Term Debt</t>
  </si>
  <si>
    <t>Class B Common stock</t>
  </si>
  <si>
    <t>Treasury stock</t>
  </si>
  <si>
    <t>Income Taxes Receivable</t>
  </si>
  <si>
    <t>Bank Loans (short term)</t>
  </si>
  <si>
    <t>Long-lived Asset Impairment</t>
  </si>
  <si>
    <t>Business Realignment Costs</t>
  </si>
  <si>
    <t>Goodwill Impairment charges</t>
  </si>
  <si>
    <t>Less: Net loss attributable to noncontrolling interest</t>
  </si>
  <si>
    <t>Net income attributable to Hershey</t>
  </si>
  <si>
    <t>Cash &amp; Cash Equivalents</t>
  </si>
  <si>
    <t>*Represents income/loss that is not reported in the income statement.</t>
  </si>
  <si>
    <t>Accumulated Other Comprehensive Loss*</t>
  </si>
  <si>
    <t>Case Study Part 3 - Ratio Analysis</t>
  </si>
  <si>
    <t>Prepaid Expenses &amp; Other</t>
  </si>
  <si>
    <r>
      <rPr>
        <sz val="11"/>
        <color rgb="FFFF0000"/>
        <rFont val="Arial"/>
        <family val="2"/>
      </rPr>
      <t xml:space="preserve">* </t>
    </r>
    <r>
      <rPr>
        <sz val="10"/>
        <rFont val="Arial"/>
        <family val="2"/>
      </rPr>
      <t>Represents income/loss that is not reported in the income statement.</t>
    </r>
  </si>
  <si>
    <r>
      <t>Accumulated other comprehensive loss</t>
    </r>
    <r>
      <rPr>
        <b/>
        <sz val="10"/>
        <color rgb="FFFF0000"/>
        <rFont val="Arial"/>
        <family val="2"/>
      </rPr>
      <t>*</t>
    </r>
  </si>
  <si>
    <t>* Represents income/loss that is not reported in the income statement.</t>
  </si>
  <si>
    <t>Non-controlling interests in subsidiary*</t>
  </si>
  <si>
    <t xml:space="preserve">Your next step in the Tootsie Roll case study is to analyze the company's financial ratios vs. its largest competitor, The Hershey Company.  Your analysis needs to include liquidity, asset management (activity), debt management (leverage), profitability and market ratios. </t>
  </si>
  <si>
    <t>Total Asset Turnover</t>
  </si>
  <si>
    <t>Other Income/(Expense)</t>
  </si>
  <si>
    <t>Earning Per Share (EPS)</t>
  </si>
  <si>
    <t>Market Price per Share</t>
  </si>
  <si>
    <r>
      <t>Analysis:</t>
    </r>
    <r>
      <rPr>
        <sz val="10"/>
        <color rgb="FF000000"/>
        <rFont val="Arial"/>
        <family val="2"/>
      </rPr>
      <t xml:space="preserve"> </t>
    </r>
  </si>
  <si>
    <t>(1)  Liquidity</t>
  </si>
  <si>
    <t>Current Ratio anslyis: Tootsie Roll has a much stronger liquidity position compared to Hershey in both 2023 and 2022. A current ratio above 1 indicates that Tootsie Roll has sufficient current assets to cover its liabilities, while Hershey is below the desired threshold of 1, indicating potential liquidity risk.</t>
  </si>
  <si>
    <t>Quick Ratio analyis: Tootsie Roll again performs better in terms of immediate liquidity in both 2023 and 2022, with a quick ratio over 1. Hershey's quick ratio below 1 suggests challenges in meeting short-term obligations without relying on inventory sales.</t>
  </si>
  <si>
    <t>Therefore, Tootsie Roll has a stronger liquidity position compared to Hershey.</t>
  </si>
  <si>
    <t>(2)  Asset Management</t>
  </si>
  <si>
    <r>
      <t>Total Asset Turnover</t>
    </r>
    <r>
      <rPr>
        <sz val="9"/>
        <rFont val="Arial"/>
        <family val="2"/>
      </rPr>
      <t>:</t>
    </r>
  </si>
  <si>
    <r>
      <t>In 2023, Tootsie Roll</t>
    </r>
    <r>
      <rPr>
        <sz val="9"/>
        <rFont val="Arial"/>
        <family val="2"/>
      </rPr>
      <t xml:space="preserve">: 0.71 and </t>
    </r>
    <r>
      <rPr>
        <b/>
        <sz val="9"/>
        <rFont val="Arial"/>
        <family val="2"/>
      </rPr>
      <t>Hershey</t>
    </r>
    <r>
      <rPr>
        <sz val="9"/>
        <rFont val="Arial"/>
        <family val="2"/>
      </rPr>
      <t>: 0.94</t>
    </r>
  </si>
  <si>
    <r>
      <t>In 2022, Tootsie Roll</t>
    </r>
    <r>
      <rPr>
        <sz val="9"/>
        <color rgb="FF000000"/>
        <rFont val="Arial"/>
        <family val="2"/>
      </rPr>
      <t xml:space="preserve">: 0.67 and </t>
    </r>
    <r>
      <rPr>
        <b/>
        <sz val="9"/>
        <color rgb="FF000000"/>
        <rFont val="Arial"/>
        <family val="2"/>
      </rPr>
      <t>Hershey</t>
    </r>
    <r>
      <rPr>
        <sz val="9"/>
        <color rgb="FF000000"/>
        <rFont val="Arial"/>
        <family val="2"/>
      </rPr>
      <t>: 0.95</t>
    </r>
  </si>
  <si>
    <r>
      <t>Analysis</t>
    </r>
    <r>
      <rPr>
        <sz val="9"/>
        <color rgb="FF000000"/>
        <rFont val="Arial"/>
        <family val="2"/>
      </rPr>
      <t>: In 2022, Hershey demonstrated a higher asset turnover, efficiently using its assets to generate sales. Tootsie Roll’s asset turnover was slightly lower in 2022 compared to 2023, reflecting room for improvement. In 2023, Hershey outperforms Tootsie Roll in utilizing its assets to generate sales. A higher asset turnover ratio for Hershey implies it is more efficient in asset management.</t>
    </r>
  </si>
  <si>
    <r>
      <t>Average Collection Period</t>
    </r>
    <r>
      <rPr>
        <sz val="9"/>
        <rFont val="Arial"/>
        <family val="2"/>
      </rPr>
      <t>:</t>
    </r>
  </si>
  <si>
    <r>
      <t>In 2023, Tootsie Roll</t>
    </r>
    <r>
      <rPr>
        <sz val="9"/>
        <rFont val="Arial"/>
        <family val="2"/>
      </rPr>
      <t xml:space="preserve">: 26.36 days and </t>
    </r>
    <r>
      <rPr>
        <b/>
        <sz val="9"/>
        <rFont val="Arial"/>
        <family val="2"/>
      </rPr>
      <t>Hershey</t>
    </r>
    <r>
      <rPr>
        <sz val="9"/>
        <rFont val="Arial"/>
        <family val="2"/>
      </rPr>
      <t xml:space="preserve">: </t>
    </r>
    <r>
      <rPr>
        <sz val="9"/>
        <color rgb="FFFF0000"/>
        <rFont val="Arial"/>
        <family val="2"/>
      </rPr>
      <t>747.99 days</t>
    </r>
  </si>
  <si>
    <r>
      <t>Tootsie Roll</t>
    </r>
    <r>
      <rPr>
        <sz val="9"/>
        <rFont val="Arial"/>
        <family val="2"/>
      </rPr>
      <t xml:space="preserve">: 31.11 days and </t>
    </r>
    <r>
      <rPr>
        <b/>
        <sz val="9"/>
        <rFont val="Arial"/>
        <family val="2"/>
      </rPr>
      <t>Hershey</t>
    </r>
    <r>
      <rPr>
        <sz val="9"/>
        <rFont val="Arial"/>
        <family val="2"/>
      </rPr>
      <t>: 24.91 days</t>
    </r>
  </si>
  <si>
    <r>
      <t>Analysis</t>
    </r>
    <r>
      <rPr>
        <sz val="9"/>
        <rFont val="Arial"/>
        <family val="2"/>
      </rPr>
      <t>: In 2023, Hershey's extremely high average collection period for 2023 (747.99 days) suggests inefficiency in collecting receivables. Tootsie Roll, with a much lower collection period, is more effective in managing receivables. In 2022, Hershey had a significantly lower average collection period compared to 2023, which reflects better receivables management that year. Tootsie Roll also had a slightly longer collection period compared to 2023.</t>
    </r>
  </si>
  <si>
    <t>Therefore, Hershey's asset management is more efficient, as it generates more sales with its assets and collects receivables faster.</t>
  </si>
  <si>
    <t xml:space="preserve">(3)  Debt Management: </t>
  </si>
  <si>
    <r>
      <t>Debt Ratio</t>
    </r>
    <r>
      <rPr>
        <sz val="9"/>
        <rFont val="Arial"/>
        <family val="2"/>
      </rPr>
      <t>:</t>
    </r>
  </si>
  <si>
    <r>
      <t>In 2023, Tootsie Roll</t>
    </r>
    <r>
      <rPr>
        <sz val="9"/>
        <rFont val="Arial"/>
        <family val="2"/>
      </rPr>
      <t xml:space="preserve">: 24.09% and </t>
    </r>
    <r>
      <rPr>
        <b/>
        <sz val="9"/>
        <rFont val="Arial"/>
        <family val="2"/>
      </rPr>
      <t>Hershey</t>
    </r>
    <r>
      <rPr>
        <sz val="9"/>
        <rFont val="Arial"/>
        <family val="2"/>
      </rPr>
      <t>: 65.56%</t>
    </r>
  </si>
  <si>
    <r>
      <t>In 2023, Tootsie Roll</t>
    </r>
    <r>
      <rPr>
        <sz val="9"/>
        <rFont val="Arial"/>
        <family val="2"/>
      </rPr>
      <t xml:space="preserve">: 23.15% and </t>
    </r>
    <r>
      <rPr>
        <b/>
        <sz val="9"/>
        <rFont val="Arial"/>
        <family val="2"/>
      </rPr>
      <t>Hershey</t>
    </r>
    <r>
      <rPr>
        <sz val="9"/>
        <rFont val="Arial"/>
        <family val="2"/>
      </rPr>
      <t>: 69.86%</t>
    </r>
  </si>
  <si>
    <r>
      <t>Analysis</t>
    </r>
    <r>
      <rPr>
        <sz val="9"/>
        <rFont val="Arial"/>
        <family val="2"/>
      </rPr>
      <t>: In 2023, Tootsie Roll has a lower debt ratio, indicating it relies less on borrowed funds for its operations. Hershey's higher debt ratio shows a greater dependence on debt, which could introduce higher financial risk, but also offers potential tax advantages through interest deductions. In 2022, Hershey had an even higher debt ratio in 2022 compared to 2023, which means it relied even more on debt financing. Tootsie Roll’s debt ratio remained relatively stable, signaling a consistent, conservative approach to financing.</t>
    </r>
  </si>
  <si>
    <r>
      <t>Times Interest Earned</t>
    </r>
    <r>
      <rPr>
        <sz val="9"/>
        <rFont val="Arial"/>
        <family val="2"/>
      </rPr>
      <t>:</t>
    </r>
  </si>
  <si>
    <r>
      <t>In 2023, Tootsie Roll</t>
    </r>
    <r>
      <rPr>
        <sz val="9"/>
        <rFont val="Arial"/>
        <family val="2"/>
      </rPr>
      <t xml:space="preserve">: 356.77 and </t>
    </r>
    <r>
      <rPr>
        <b/>
        <sz val="9"/>
        <rFont val="Arial"/>
        <family val="2"/>
      </rPr>
      <t>Hershey</t>
    </r>
    <r>
      <rPr>
        <sz val="9"/>
        <rFont val="Arial"/>
        <family val="2"/>
      </rPr>
      <t>: -16.77</t>
    </r>
  </si>
  <si>
    <r>
      <t>Analysis</t>
    </r>
    <r>
      <rPr>
        <sz val="9"/>
        <rFont val="Arial"/>
        <family val="2"/>
      </rPr>
      <t xml:space="preserve">: </t>
    </r>
  </si>
  <si>
    <r>
      <t>In 2022, Tootsie Roll</t>
    </r>
    <r>
      <rPr>
        <sz val="11"/>
        <rFont val="Arial"/>
        <family val="2"/>
      </rPr>
      <t xml:space="preserve">: 944.66 and </t>
    </r>
    <r>
      <rPr>
        <b/>
        <sz val="11"/>
        <rFont val="Arial"/>
        <family val="2"/>
      </rPr>
      <t>Hershey</t>
    </r>
    <r>
      <rPr>
        <sz val="11"/>
        <rFont val="Arial"/>
        <family val="2"/>
      </rPr>
      <t>: -16.44</t>
    </r>
  </si>
  <si>
    <r>
      <t>Analysis</t>
    </r>
    <r>
      <rPr>
        <sz val="11"/>
        <rFont val="Arial"/>
        <family val="2"/>
      </rPr>
      <t>: Tootsie Roll had a much higher times interest earned (TIE) ratio in 2022, indicating a very strong ability to cover interest payments. Hershey, on the other hand, had a negative TIE ratio in both years, which is concerning because it suggests the company wasn’t generating enough operating income to cover interest expenses.</t>
    </r>
  </si>
  <si>
    <t>Therefore, Tootsie Roll has a lower level of debt and a stronger ability to service its debt compared to Hershey.</t>
  </si>
  <si>
    <t>(4)  Profitability:</t>
  </si>
  <si>
    <r>
      <t>Net Profit Margin</t>
    </r>
    <r>
      <rPr>
        <sz val="9"/>
        <rFont val="Arial"/>
        <family val="2"/>
      </rPr>
      <t>:</t>
    </r>
  </si>
  <si>
    <r>
      <t>In 2023, Tootsie Roll</t>
    </r>
    <r>
      <rPr>
        <sz val="9"/>
        <rFont val="Arial"/>
        <family val="2"/>
      </rPr>
      <t xml:space="preserve">: 11.95% and </t>
    </r>
    <r>
      <rPr>
        <b/>
        <sz val="9"/>
        <rFont val="Arial"/>
        <family val="2"/>
      </rPr>
      <t>Hershey</t>
    </r>
    <r>
      <rPr>
        <sz val="9"/>
        <rFont val="Arial"/>
        <family val="2"/>
      </rPr>
      <t>: 16.68%</t>
    </r>
  </si>
  <si>
    <r>
      <t>In 2022, Tootsie Roll</t>
    </r>
    <r>
      <rPr>
        <sz val="9"/>
        <rFont val="Arial"/>
        <family val="2"/>
      </rPr>
      <t xml:space="preserve">: 11.05% and </t>
    </r>
    <r>
      <rPr>
        <b/>
        <sz val="9"/>
        <rFont val="Arial"/>
        <family val="2"/>
      </rPr>
      <t>Hershey</t>
    </r>
    <r>
      <rPr>
        <sz val="9"/>
        <rFont val="Arial"/>
        <family val="2"/>
      </rPr>
      <t>: 15.79%</t>
    </r>
  </si>
  <si>
    <r>
      <t>Analysis</t>
    </r>
    <r>
      <rPr>
        <sz val="9"/>
        <rFont val="Arial"/>
        <family val="2"/>
      </rPr>
      <t>: In 2023, Hershey is more profitable, with a higher net profit margin. This shows that Hershey retains a larger portion of its revenue as profit compared to Tootsie Roll. In 2022, Hershey’s profitability was stronger in 2022, with a higher percentage of revenue being retained as profit. Tootsie Roll’s net profit margin was also strong but lower compared to Hershey’s.</t>
    </r>
  </si>
  <si>
    <r>
      <t>Return on Assets (ROA)</t>
    </r>
    <r>
      <rPr>
        <sz val="9"/>
        <rFont val="Arial"/>
        <family val="2"/>
      </rPr>
      <t>:</t>
    </r>
  </si>
  <si>
    <r>
      <t>In 2023, Tootsie Roll</t>
    </r>
    <r>
      <rPr>
        <sz val="9"/>
        <rFont val="Arial"/>
        <family val="2"/>
      </rPr>
      <t xml:space="preserve">: 8.48% and </t>
    </r>
    <r>
      <rPr>
        <b/>
        <sz val="9"/>
        <rFont val="Arial"/>
        <family val="2"/>
      </rPr>
      <t>Hershey</t>
    </r>
    <r>
      <rPr>
        <sz val="9"/>
        <rFont val="Arial"/>
        <family val="2"/>
      </rPr>
      <t>: 15.64%</t>
    </r>
  </si>
  <si>
    <r>
      <t>In 2022, Tootsie Roll</t>
    </r>
    <r>
      <rPr>
        <sz val="9"/>
        <rFont val="Arial"/>
        <family val="2"/>
      </rPr>
      <t xml:space="preserve">: 7.45% and </t>
    </r>
    <r>
      <rPr>
        <b/>
        <sz val="9"/>
        <rFont val="Arial"/>
        <family val="2"/>
      </rPr>
      <t>Hershey</t>
    </r>
    <r>
      <rPr>
        <sz val="9"/>
        <rFont val="Arial"/>
        <family val="2"/>
      </rPr>
      <t>: 15.02%</t>
    </r>
  </si>
  <si>
    <r>
      <t>Analysis</t>
    </r>
    <r>
      <rPr>
        <sz val="9"/>
        <rFont val="Arial"/>
        <family val="2"/>
      </rPr>
      <t>: In 2023, Hershey's ROA is nearly double that of Tootsie Roll, indicating more effective utilization of assets in generating profits. In 2022, Hershey had a much higher ROA in 2022, reflecting its efficient use of assets to generate profits. Tootsie Roll's lower ROA suggests less efficiency in asset utilization.</t>
    </r>
  </si>
  <si>
    <r>
      <t>Return on Equity (ROE)</t>
    </r>
    <r>
      <rPr>
        <sz val="9"/>
        <rFont val="Arial"/>
        <family val="2"/>
      </rPr>
      <t>:</t>
    </r>
  </si>
  <si>
    <r>
      <t>In 2023, Tootsie Roll</t>
    </r>
    <r>
      <rPr>
        <sz val="9"/>
        <rFont val="Arial"/>
        <family val="2"/>
      </rPr>
      <t xml:space="preserve">:11.17%  and </t>
    </r>
    <r>
      <rPr>
        <b/>
        <sz val="9"/>
        <rFont val="Arial"/>
        <family val="2"/>
      </rPr>
      <t>Hershey</t>
    </r>
    <r>
      <rPr>
        <sz val="9"/>
        <rFont val="Arial"/>
        <family val="2"/>
      </rPr>
      <t>: 45.42%</t>
    </r>
  </si>
  <si>
    <r>
      <t>In 2022, Tootsie Roll</t>
    </r>
    <r>
      <rPr>
        <sz val="9"/>
        <rFont val="Arial"/>
        <family val="2"/>
      </rPr>
      <t xml:space="preserve">: 9.70%  and </t>
    </r>
    <r>
      <rPr>
        <b/>
        <sz val="9"/>
        <rFont val="Arial"/>
        <family val="2"/>
      </rPr>
      <t>Hershey</t>
    </r>
    <r>
      <rPr>
        <sz val="9"/>
        <rFont val="Arial"/>
        <family val="2"/>
      </rPr>
      <t>:  48.85%</t>
    </r>
  </si>
  <si>
    <r>
      <t>Analysis</t>
    </r>
    <r>
      <rPr>
        <sz val="9"/>
        <rFont val="Arial"/>
        <family val="2"/>
      </rPr>
      <t>: In 2023, Hershey’s ROE (45.42%) was much higher than Tootsie Roll’s (11.17%), mainly due to Hershey’s greater use of financial leverage, while Tootsie Roll's more conservative approach resulted in a lower but stable ROE. Similarly, in 2022, Hershey maintained a higher ROE (48.85%) compared to Tootsie Roll (9.70%), indicating consistent outperformance driven by profitability and leverage.</t>
    </r>
  </si>
  <si>
    <t>Extended Du Pont equation:</t>
  </si>
  <si>
    <r>
      <t>In 2023, Tootsie Roll</t>
    </r>
    <r>
      <rPr>
        <sz val="9"/>
        <rFont val="Arial"/>
        <family val="2"/>
      </rPr>
      <t xml:space="preserve">:  and </t>
    </r>
    <r>
      <rPr>
        <b/>
        <sz val="9"/>
        <rFont val="Arial"/>
        <family val="2"/>
      </rPr>
      <t>Hershey</t>
    </r>
    <r>
      <rPr>
        <sz val="9"/>
        <rFont val="Arial"/>
        <family val="2"/>
      </rPr>
      <t xml:space="preserve">: </t>
    </r>
  </si>
  <si>
    <r>
      <t>In 2022, Tootsie Roll</t>
    </r>
    <r>
      <rPr>
        <sz val="9"/>
        <rFont val="Arial"/>
        <family val="2"/>
      </rPr>
      <t xml:space="preserve">:  and </t>
    </r>
    <r>
      <rPr>
        <b/>
        <sz val="9"/>
        <rFont val="Arial"/>
        <family val="2"/>
      </rPr>
      <t>Hershey</t>
    </r>
    <r>
      <rPr>
        <sz val="9"/>
        <rFont val="Arial"/>
        <family val="2"/>
      </rPr>
      <t xml:space="preserve">: </t>
    </r>
  </si>
  <si>
    <r>
      <t>Analysis</t>
    </r>
    <r>
      <rPr>
        <sz val="10"/>
        <rFont val="Arial"/>
        <family val="2"/>
      </rPr>
      <t xml:space="preserve">: </t>
    </r>
  </si>
  <si>
    <t>Therefore, Hershey's profitability ratios are stronger, indicating it is more efficient in generating profits.</t>
  </si>
  <si>
    <t xml:space="preserve">(5)  Market Value Ratios:  </t>
  </si>
  <si>
    <t>PE Ratio:</t>
  </si>
  <si>
    <r>
      <t>In 2023, Tootsie Roll</t>
    </r>
    <r>
      <rPr>
        <sz val="9"/>
        <rFont val="Arial"/>
        <family val="2"/>
      </rPr>
      <t xml:space="preserve">: $23.72 and </t>
    </r>
    <r>
      <rPr>
        <b/>
        <sz val="9"/>
        <rFont val="Arial"/>
        <family val="2"/>
      </rPr>
      <t>Hershey</t>
    </r>
    <r>
      <rPr>
        <sz val="9"/>
        <rFont val="Arial"/>
        <family val="2"/>
      </rPr>
      <t>: $21.48</t>
    </r>
  </si>
  <si>
    <r>
      <t>Analysis</t>
    </r>
    <r>
      <rPr>
        <sz val="9"/>
        <rFont val="Arial"/>
        <family val="2"/>
      </rPr>
      <t>: Tootsie Roll has a slightly higher PE ratio, suggesting that investors may expect higher future growth from Tootsie Roll, or that it is relatively more expensive than Hershey on a price-to-earnings basis.</t>
    </r>
  </si>
  <si>
    <t>Market to book ratio</t>
  </si>
  <si>
    <r>
      <t>Tootsie Roll</t>
    </r>
    <r>
      <rPr>
        <sz val="9"/>
        <rFont val="Arial"/>
        <family val="2"/>
      </rPr>
      <t>: With a market price of $31.41 per share and a PE ratio of $23.72, investors are likely seeing steady growth prospects, but this may be due to its lower debt levels and solid liquidity.</t>
    </r>
  </si>
  <si>
    <r>
      <t>Hershey</t>
    </r>
    <r>
      <rPr>
        <sz val="9"/>
        <rFont val="Arial"/>
        <family val="2"/>
      </rPr>
      <t>: At a market price of $193.36 and a PE ratio of $21.48, Hershey’s market value seems justified by its strong profitability (net margin, ROA, and ROE) despite its higher leverage. Investors may view Hershey as a more aggressive growth opportunity due to its financial structure and profitability.</t>
    </r>
  </si>
  <si>
    <t>Therefore, The market is valuing Hershey's stock more highly relative to its earnings compared to Tootsie Roll.</t>
  </si>
  <si>
    <t>In conclusion, Hershey demonstrates superior profitability, asset efficiency, and return on equity, but with higher debt and potential liquidity concerns. Tootsie Roll is more conservative, with stronger liquidity and lower debt, but it lags in profitability and asset utilization.</t>
  </si>
  <si>
    <t>Overall, Hershey appears to have a stronger financial position than Tootsie Roll. It has a more efficient asset management strategy, a higher level of profitability, and a higher market valuation. However, Tootsie Roll has a stronger liquidity position and a lower level of debt, which could provide it with greater financial flexibility.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</si>
</sst>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5" formatCode="&quot;$&quot;#,##0_);\(&quot;$&quot;#,##0\)"/>
    <numFmt numFmtId="7" formatCode="&quot;$&quot;#,##0.00_);\(&quot;$&quot;#,##0.00\)"/>
    <numFmt numFmtId="44" formatCode="_(&quot;$&quot;* #,##0.00_);_(&quot;$&quot;* \(#,##0.00\);_(&quot;$&quot;* &quot;-&quot;??_);_(@_)"/>
    <numFmt numFmtId="43" formatCode="_(* #,##0.00_);_(* \(#,##0.00\);_(* &quot;-&quot;??_);_(@_)"/>
    <numFmt numFmtId="164" formatCode="0.0%"/>
    <numFmt numFmtId="165" formatCode="0.00_)"/>
    <numFmt numFmtId="166" formatCode="&quot;$&quot;#,##0"/>
    <numFmt numFmtId="167" formatCode="_(* #,##0_);_(* \(#,##0\);_(* &quot;-&quot;??_);_(@_)"/>
    <numFmt numFmtId="168" formatCode="&quot;$&quot;#,##0.00"/>
  </numFmts>
  <fonts count="29">
    <font>
      <sz val="10"/>
      <name val="Arial"/>
    </font>
    <font>
      <sz val="10"/>
      <name val="Arial"/>
      <family val="2"/>
    </font>
    <font>
      <b/>
      <sz val="10"/>
      <name val="Arial"/>
      <family val="2"/>
    </font>
    <font>
      <sz val="8"/>
      <name val="Arial"/>
      <family val="2"/>
    </font>
    <font>
      <u/>
      <sz val="10"/>
      <name val="Arial"/>
      <family val="2"/>
    </font>
    <font>
      <u/>
      <sz val="10"/>
      <name val="Arial"/>
      <family val="2"/>
    </font>
    <font>
      <u val="double"/>
      <sz val="10"/>
      <name val="Arial"/>
      <family val="2"/>
    </font>
    <font>
      <sz val="10"/>
      <color indexed="8"/>
      <name val="Arial"/>
      <family val="2"/>
    </font>
    <font>
      <b/>
      <sz val="14"/>
      <name val="Arial"/>
      <family val="2"/>
    </font>
    <font>
      <b/>
      <sz val="12"/>
      <name val="Arial"/>
      <family val="2"/>
    </font>
    <font>
      <b/>
      <sz val="12"/>
      <name val="Arial MT"/>
    </font>
    <font>
      <b/>
      <u/>
      <sz val="10"/>
      <name val="Arial"/>
      <family val="2"/>
    </font>
    <font>
      <u/>
      <sz val="10"/>
      <color rgb="FFFF0000"/>
      <name val="Arial"/>
      <family val="2"/>
    </font>
    <font>
      <sz val="10"/>
      <name val="Arial"/>
      <family val="2"/>
    </font>
    <font>
      <b/>
      <sz val="16"/>
      <name val="Arial"/>
      <family val="2"/>
    </font>
    <font>
      <b/>
      <sz val="9"/>
      <name val="Arial"/>
      <family val="2"/>
    </font>
    <font>
      <sz val="9"/>
      <name val="Arial"/>
      <family val="2"/>
    </font>
    <font>
      <b/>
      <u val="double"/>
      <sz val="10"/>
      <name val="Arial"/>
      <family val="2"/>
    </font>
    <font>
      <sz val="11"/>
      <color rgb="FFFF0000"/>
      <name val="Arial"/>
      <family val="2"/>
    </font>
    <font>
      <sz val="10"/>
      <name val="Arial"/>
      <family val="2"/>
    </font>
    <font>
      <sz val="10"/>
      <color theme="1"/>
      <name val="Arial"/>
      <family val="2"/>
    </font>
    <font>
      <b/>
      <sz val="10"/>
      <color rgb="FFFF0000"/>
      <name val="Arial"/>
      <family val="2"/>
    </font>
    <font>
      <b/>
      <sz val="10"/>
      <color rgb="FF000000"/>
      <name val="Arial"/>
      <family val="2"/>
    </font>
    <font>
      <sz val="10"/>
      <color rgb="FF000000"/>
      <name val="Arial"/>
      <family val="2"/>
    </font>
    <font>
      <sz val="9"/>
      <color rgb="FF000000"/>
      <name val="Arial"/>
      <family val="2"/>
    </font>
    <font>
      <b/>
      <sz val="9"/>
      <color rgb="FF000000"/>
      <name val="Arial"/>
      <family val="2"/>
    </font>
    <font>
      <sz val="9"/>
      <color rgb="FFFF0000"/>
      <name val="Arial"/>
      <family val="2"/>
    </font>
    <font>
      <b/>
      <sz val="11"/>
      <name val="Arial"/>
      <family val="2"/>
    </font>
    <font>
      <sz val="1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0.34998626667073579"/>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s>
  <cellStyleXfs count="4">
    <xf numFmtId="0" fontId="0" fillId="0" borderId="0"/>
    <xf numFmtId="9" fontId="1" fillId="0" borderId="0" applyFont="0" applyFill="0" applyBorder="0" applyAlignment="0" applyProtection="0"/>
    <xf numFmtId="43" fontId="13" fillId="0" borderId="0" applyFont="0" applyFill="0" applyBorder="0" applyAlignment="0" applyProtection="0"/>
    <xf numFmtId="44" fontId="19" fillId="0" borderId="0" applyFont="0" applyFill="0" applyBorder="0" applyAlignment="0" applyProtection="0"/>
  </cellStyleXfs>
  <cellXfs count="108">
    <xf numFmtId="0" fontId="0" fillId="0" borderId="0" xfId="0"/>
    <xf numFmtId="0" fontId="2" fillId="0" borderId="0" xfId="0" applyFont="1"/>
    <xf numFmtId="0" fontId="0" fillId="0" borderId="0" xfId="0" quotePrefix="1" applyAlignment="1">
      <alignment horizontal="left"/>
    </xf>
    <xf numFmtId="0" fontId="0" fillId="0" borderId="0" xfId="0" applyAlignment="1">
      <alignment horizontal="left"/>
    </xf>
    <xf numFmtId="5" fontId="0" fillId="0" borderId="0" xfId="0" applyNumberFormat="1" applyAlignment="1">
      <alignment horizontal="right"/>
    </xf>
    <xf numFmtId="5" fontId="0" fillId="0" borderId="0" xfId="0" applyNumberFormat="1"/>
    <xf numFmtId="37" fontId="4" fillId="0" borderId="0" xfId="0" applyNumberFormat="1" applyFont="1" applyAlignment="1">
      <alignment horizontal="right"/>
    </xf>
    <xf numFmtId="37" fontId="0" fillId="0" borderId="0" xfId="0" applyNumberFormat="1"/>
    <xf numFmtId="37" fontId="4" fillId="0" borderId="0" xfId="0" applyNumberFormat="1" applyFont="1"/>
    <xf numFmtId="5" fontId="4" fillId="0" borderId="0" xfId="0" applyNumberFormat="1" applyFont="1"/>
    <xf numFmtId="5" fontId="6" fillId="0" borderId="0" xfId="0" applyNumberFormat="1" applyFont="1"/>
    <xf numFmtId="5" fontId="6" fillId="0" borderId="0" xfId="0" applyNumberFormat="1" applyFont="1" applyAlignment="1">
      <alignment horizontal="right"/>
    </xf>
    <xf numFmtId="0" fontId="7" fillId="0" borderId="0" xfId="0" applyFont="1"/>
    <xf numFmtId="15" fontId="0" fillId="0" borderId="0" xfId="0" quotePrefix="1" applyNumberFormat="1" applyAlignment="1">
      <alignment horizontal="left"/>
    </xf>
    <xf numFmtId="7" fontId="0" fillId="0" borderId="0" xfId="0" applyNumberFormat="1"/>
    <xf numFmtId="7" fontId="5" fillId="0" borderId="0" xfId="0" applyNumberFormat="1" applyFont="1"/>
    <xf numFmtId="37" fontId="1" fillId="0" borderId="0" xfId="0" applyNumberFormat="1" applyFont="1"/>
    <xf numFmtId="0" fontId="2" fillId="0" borderId="0" xfId="0" quotePrefix="1" applyFont="1" applyAlignment="1">
      <alignment horizontal="center"/>
    </xf>
    <xf numFmtId="0" fontId="2" fillId="0" borderId="0" xfId="0" quotePrefix="1" applyFont="1" applyAlignment="1">
      <alignment horizontal="left"/>
    </xf>
    <xf numFmtId="0" fontId="11" fillId="0" borderId="0" xfId="0" quotePrefix="1" applyFont="1" applyAlignment="1">
      <alignment horizontal="left"/>
    </xf>
    <xf numFmtId="37" fontId="12" fillId="0" borderId="0" xfId="0" applyNumberFormat="1" applyFont="1"/>
    <xf numFmtId="0" fontId="2" fillId="0" borderId="0" xfId="0" applyFont="1" applyAlignment="1">
      <alignment horizontal="left"/>
    </xf>
    <xf numFmtId="5" fontId="0" fillId="0" borderId="2" xfId="0" applyNumberFormat="1" applyBorder="1"/>
    <xf numFmtId="0" fontId="1" fillId="0" borderId="0" xfId="0" applyFont="1"/>
    <xf numFmtId="0" fontId="1" fillId="0" borderId="0" xfId="0" quotePrefix="1" applyFont="1" applyAlignment="1">
      <alignment horizontal="left"/>
    </xf>
    <xf numFmtId="165" fontId="1" fillId="0" borderId="1" xfId="0" applyNumberFormat="1" applyFont="1" applyBorder="1"/>
    <xf numFmtId="164" fontId="1" fillId="0" borderId="1" xfId="0" applyNumberFormat="1" applyFont="1" applyBorder="1"/>
    <xf numFmtId="165" fontId="1" fillId="0" borderId="1" xfId="0" applyNumberFormat="1" applyFont="1" applyBorder="1" applyAlignment="1">
      <alignment horizontal="right"/>
    </xf>
    <xf numFmtId="10" fontId="1" fillId="0" borderId="1" xfId="0" applyNumberFormat="1" applyFont="1" applyBorder="1"/>
    <xf numFmtId="165" fontId="1" fillId="0" borderId="0" xfId="0" applyNumberFormat="1" applyFont="1"/>
    <xf numFmtId="0" fontId="9" fillId="0" borderId="0" xfId="0" applyFont="1" applyAlignment="1">
      <alignment horizontal="center"/>
    </xf>
    <xf numFmtId="0" fontId="2" fillId="0" borderId="6" xfId="0" applyFont="1" applyBorder="1" applyAlignment="1">
      <alignment horizontal="center"/>
    </xf>
    <xf numFmtId="37" fontId="1" fillId="0" borderId="0" xfId="0" applyNumberFormat="1" applyFont="1" applyAlignment="1">
      <alignment horizontal="right"/>
    </xf>
    <xf numFmtId="43" fontId="0" fillId="0" borderId="0" xfId="2" applyFont="1"/>
    <xf numFmtId="5" fontId="1" fillId="0" borderId="0" xfId="0" applyNumberFormat="1" applyFont="1"/>
    <xf numFmtId="5" fontId="4" fillId="0" borderId="0" xfId="0" applyNumberFormat="1" applyFont="1" applyAlignment="1">
      <alignment horizontal="right"/>
    </xf>
    <xf numFmtId="0" fontId="1" fillId="0" borderId="0" xfId="0" applyFont="1" applyAlignment="1">
      <alignment horizontal="left"/>
    </xf>
    <xf numFmtId="0" fontId="2" fillId="0" borderId="0" xfId="0" applyFont="1" applyAlignment="1">
      <alignment wrapText="1"/>
    </xf>
    <xf numFmtId="5" fontId="1" fillId="0" borderId="0" xfId="0" applyNumberFormat="1" applyFont="1" applyAlignment="1">
      <alignment horizontal="right"/>
    </xf>
    <xf numFmtId="5" fontId="1" fillId="0" borderId="9" xfId="0" applyNumberFormat="1" applyFont="1" applyBorder="1" applyAlignment="1">
      <alignment horizontal="right"/>
    </xf>
    <xf numFmtId="37" fontId="1" fillId="0" borderId="9" xfId="0" applyNumberFormat="1" applyFont="1" applyBorder="1" applyAlignment="1">
      <alignment horizontal="right"/>
    </xf>
    <xf numFmtId="37" fontId="1" fillId="0" borderId="9" xfId="0" applyNumberFormat="1" applyFont="1" applyBorder="1"/>
    <xf numFmtId="0" fontId="1" fillId="0" borderId="0" xfId="0" applyFont="1" applyAlignment="1">
      <alignment wrapText="1"/>
    </xf>
    <xf numFmtId="5" fontId="2" fillId="0" borderId="0" xfId="0" applyNumberFormat="1" applyFont="1"/>
    <xf numFmtId="0" fontId="15" fillId="0" borderId="0" xfId="0" applyFont="1"/>
    <xf numFmtId="0" fontId="16" fillId="0" borderId="0" xfId="0" applyFont="1" applyAlignment="1">
      <alignment wrapText="1"/>
    </xf>
    <xf numFmtId="10" fontId="2" fillId="0" borderId="1" xfId="0" applyNumberFormat="1" applyFont="1" applyBorder="1"/>
    <xf numFmtId="0" fontId="1" fillId="0" borderId="0" xfId="0" applyFont="1" applyAlignment="1">
      <alignment horizontal="left" wrapText="1"/>
    </xf>
    <xf numFmtId="5" fontId="17" fillId="0" borderId="0" xfId="0" applyNumberFormat="1" applyFont="1"/>
    <xf numFmtId="0" fontId="8" fillId="2" borderId="12" xfId="0" applyFont="1" applyFill="1" applyBorder="1" applyAlignment="1">
      <alignment horizontal="center"/>
    </xf>
    <xf numFmtId="0" fontId="9" fillId="2" borderId="13" xfId="0" applyFont="1" applyFill="1" applyBorder="1" applyAlignment="1">
      <alignment horizontal="center"/>
    </xf>
    <xf numFmtId="10" fontId="1" fillId="0" borderId="1" xfId="1" applyNumberFormat="1" applyFont="1" applyBorder="1" applyProtection="1"/>
    <xf numFmtId="0" fontId="2" fillId="0" borderId="0" xfId="0" applyFont="1" applyAlignment="1">
      <alignment horizontal="center"/>
    </xf>
    <xf numFmtId="166" fontId="20" fillId="0" borderId="0" xfId="3" applyNumberFormat="1" applyFont="1"/>
    <xf numFmtId="5" fontId="20" fillId="0" borderId="0" xfId="0" applyNumberFormat="1" applyFont="1" applyAlignment="1">
      <alignment horizontal="right"/>
    </xf>
    <xf numFmtId="167" fontId="20" fillId="0" borderId="0" xfId="2" quotePrefix="1" applyNumberFormat="1" applyFont="1" applyAlignment="1">
      <alignment horizontal="left"/>
    </xf>
    <xf numFmtId="167" fontId="20" fillId="0" borderId="0" xfId="2" applyNumberFormat="1" applyFont="1"/>
    <xf numFmtId="0" fontId="20" fillId="0" borderId="0" xfId="0" applyFont="1"/>
    <xf numFmtId="167" fontId="20" fillId="0" borderId="9" xfId="2" applyNumberFormat="1" applyFont="1" applyBorder="1"/>
    <xf numFmtId="5" fontId="20" fillId="0" borderId="9" xfId="0" applyNumberFormat="1" applyFont="1" applyBorder="1" applyAlignment="1">
      <alignment horizontal="right"/>
    </xf>
    <xf numFmtId="5" fontId="20" fillId="0" borderId="0" xfId="0" applyNumberFormat="1" applyFont="1"/>
    <xf numFmtId="37" fontId="20" fillId="0" borderId="0" xfId="0" applyNumberFormat="1" applyFont="1"/>
    <xf numFmtId="5" fontId="20" fillId="0" borderId="2" xfId="0" applyNumberFormat="1" applyFont="1" applyBorder="1"/>
    <xf numFmtId="0" fontId="20" fillId="0" borderId="0" xfId="0" quotePrefix="1" applyFont="1" applyAlignment="1">
      <alignment horizontal="left"/>
    </xf>
    <xf numFmtId="0" fontId="20" fillId="0" borderId="0" xfId="0" applyFont="1" applyAlignment="1">
      <alignment horizontal="left"/>
    </xf>
    <xf numFmtId="165" fontId="1" fillId="3" borderId="1" xfId="0" applyNumberFormat="1" applyFont="1" applyFill="1" applyBorder="1"/>
    <xf numFmtId="10" fontId="1" fillId="3" borderId="1" xfId="1" applyNumberFormat="1" applyFont="1" applyFill="1" applyBorder="1" applyProtection="1"/>
    <xf numFmtId="165" fontId="1" fillId="3" borderId="1" xfId="0" applyNumberFormat="1" applyFont="1" applyFill="1" applyBorder="1" applyAlignment="1">
      <alignment horizontal="right"/>
    </xf>
    <xf numFmtId="10" fontId="1" fillId="3" borderId="1" xfId="0" applyNumberFormat="1" applyFont="1" applyFill="1" applyBorder="1"/>
    <xf numFmtId="0" fontId="2" fillId="3" borderId="13" xfId="0" applyFont="1" applyFill="1" applyBorder="1" applyAlignment="1">
      <alignment horizontal="center"/>
    </xf>
    <xf numFmtId="164" fontId="1" fillId="3" borderId="1" xfId="0" applyNumberFormat="1" applyFont="1" applyFill="1" applyBorder="1"/>
    <xf numFmtId="10" fontId="17" fillId="0" borderId="0" xfId="1" applyNumberFormat="1" applyFont="1"/>
    <xf numFmtId="10" fontId="1" fillId="0" borderId="1" xfId="1" applyNumberFormat="1" applyFont="1" applyBorder="1"/>
    <xf numFmtId="166" fontId="1" fillId="0" borderId="0" xfId="3" applyNumberFormat="1" applyFont="1"/>
    <xf numFmtId="166" fontId="1" fillId="0" borderId="0" xfId="0" quotePrefix="1" applyNumberFormat="1" applyFont="1" applyAlignment="1">
      <alignment horizontal="right"/>
    </xf>
    <xf numFmtId="166" fontId="0" fillId="0" borderId="0" xfId="0" quotePrefix="1" applyNumberFormat="1" applyAlignment="1">
      <alignment horizontal="right"/>
    </xf>
    <xf numFmtId="166" fontId="4" fillId="0" borderId="0" xfId="0" applyNumberFormat="1" applyFont="1"/>
    <xf numFmtId="1" fontId="4" fillId="0" borderId="0" xfId="0" applyNumberFormat="1" applyFont="1" applyAlignment="1">
      <alignment horizontal="right"/>
    </xf>
    <xf numFmtId="166" fontId="0" fillId="0" borderId="0" xfId="0" applyNumberFormat="1"/>
    <xf numFmtId="1" fontId="1" fillId="0" borderId="0" xfId="0" applyNumberFormat="1" applyFont="1"/>
    <xf numFmtId="0" fontId="2" fillId="0" borderId="0" xfId="0" quotePrefix="1" applyFont="1" applyAlignment="1">
      <alignment horizontal="right"/>
    </xf>
    <xf numFmtId="7" fontId="4" fillId="0" borderId="0" xfId="0" applyNumberFormat="1" applyFont="1"/>
    <xf numFmtId="10" fontId="2" fillId="0" borderId="0" xfId="0" applyNumberFormat="1" applyFont="1"/>
    <xf numFmtId="10" fontId="1" fillId="0" borderId="0" xfId="0" applyNumberFormat="1" applyFont="1"/>
    <xf numFmtId="7" fontId="1" fillId="0" borderId="0" xfId="0" applyNumberFormat="1" applyFont="1"/>
    <xf numFmtId="7" fontId="1" fillId="0" borderId="8" xfId="0" applyNumberFormat="1" applyFont="1" applyBorder="1"/>
    <xf numFmtId="168" fontId="1" fillId="0" borderId="0" xfId="0" applyNumberFormat="1" applyFont="1"/>
    <xf numFmtId="168" fontId="1" fillId="0" borderId="8" xfId="0" applyNumberFormat="1" applyFont="1" applyBorder="1"/>
    <xf numFmtId="0" fontId="14" fillId="2" borderId="10" xfId="0" applyFont="1" applyFill="1" applyBorder="1" applyAlignment="1">
      <alignment horizontal="center"/>
    </xf>
    <xf numFmtId="0" fontId="14" fillId="2" borderId="11" xfId="0" applyFont="1" applyFill="1" applyBorder="1" applyAlignment="1">
      <alignment horizontal="center"/>
    </xf>
    <xf numFmtId="0" fontId="14" fillId="2" borderId="6" xfId="0" applyFont="1" applyFill="1" applyBorder="1" applyAlignment="1">
      <alignment horizontal="center"/>
    </xf>
    <xf numFmtId="0" fontId="14" fillId="2" borderId="7" xfId="0" applyFont="1" applyFill="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9" fillId="0" borderId="0" xfId="0" applyFont="1" applyAlignment="1">
      <alignment horizontal="left" vertical="top" wrapText="1"/>
    </xf>
    <xf numFmtId="0" fontId="10" fillId="0" borderId="0" xfId="0" quotePrefix="1" applyFont="1" applyAlignment="1">
      <alignment horizontal="center"/>
    </xf>
    <xf numFmtId="0" fontId="2" fillId="0" borderId="0" xfId="0" applyFont="1" applyAlignment="1">
      <alignment horizontal="center"/>
    </xf>
    <xf numFmtId="0" fontId="1" fillId="0" borderId="0" xfId="0" applyFont="1" applyAlignment="1">
      <alignment horizontal="left" wrapText="1"/>
    </xf>
    <xf numFmtId="0" fontId="1" fillId="0" borderId="0" xfId="0" applyFont="1" applyAlignment="1">
      <alignment horizontal="center"/>
    </xf>
    <xf numFmtId="0" fontId="0" fillId="0" borderId="0" xfId="0" applyAlignment="1">
      <alignment horizontal="center"/>
    </xf>
    <xf numFmtId="0" fontId="22" fillId="0" borderId="0" xfId="0" applyFont="1" applyAlignment="1">
      <alignment horizontal="left" vertical="center" readingOrder="1"/>
    </xf>
    <xf numFmtId="0" fontId="23" fillId="0" borderId="0" xfId="0" applyFont="1" applyAlignment="1">
      <alignment horizontal="left" vertical="center" readingOrder="1"/>
    </xf>
    <xf numFmtId="0" fontId="24" fillId="0" borderId="0" xfId="0" applyFont="1" applyAlignment="1">
      <alignment horizontal="left" vertical="center" readingOrder="1"/>
    </xf>
    <xf numFmtId="0" fontId="25" fillId="0" borderId="0" xfId="0" applyFont="1"/>
    <xf numFmtId="0" fontId="16" fillId="0" borderId="0" xfId="0" applyFont="1" applyAlignment="1">
      <alignment vertical="center" readingOrder="1"/>
    </xf>
    <xf numFmtId="0" fontId="27" fillId="0" borderId="0" xfId="0" applyFont="1"/>
    <xf numFmtId="0" fontId="16" fillId="0" borderId="0" xfId="0" applyFont="1"/>
  </cellXfs>
  <cellStyles count="4">
    <cellStyle name="Comma" xfId="2" builtinId="3"/>
    <cellStyle name="Currency" xfId="3" builtinId="4"/>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38100</xdr:colOff>
      <xdr:row>26</xdr:row>
      <xdr:rowOff>1911</xdr:rowOff>
    </xdr:from>
    <xdr:to>
      <xdr:col>12</xdr:col>
      <xdr:colOff>3070</xdr:colOff>
      <xdr:row>88</xdr:row>
      <xdr:rowOff>8356</xdr:rowOff>
    </xdr:to>
    <xdr:sp macro="" textlink="">
      <xdr:nvSpPr>
        <xdr:cNvPr id="14337" name="Text Box 1">
          <a:extLst>
            <a:ext uri="{FF2B5EF4-FFF2-40B4-BE49-F238E27FC236}">
              <a16:creationId xmlns:a16="http://schemas.microsoft.com/office/drawing/2014/main" id="{00000000-0008-0000-0000-000001380000}"/>
            </a:ext>
          </a:extLst>
        </xdr:cNvPr>
        <xdr:cNvSpPr txBox="1">
          <a:spLocks noChangeArrowheads="1"/>
        </xdr:cNvSpPr>
      </xdr:nvSpPr>
      <xdr:spPr bwMode="auto">
        <a:xfrm>
          <a:off x="221916" y="4614016"/>
          <a:ext cx="10450825" cy="9848945"/>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US" sz="900" b="1" i="0" u="none" strike="noStrike" baseline="0">
              <a:solidFill>
                <a:srgbClr val="000000"/>
              </a:solidFill>
              <a:latin typeface="Arial" panose="020B0604020202020204" pitchFamily="34" charset="0"/>
              <a:cs typeface="Arial" panose="020B0604020202020204" pitchFamily="34" charset="0"/>
            </a:rPr>
            <a:t>Analysis:</a:t>
          </a:r>
          <a:r>
            <a:rPr lang="en-US" sz="900" b="0" i="0" u="none" strike="noStrike" baseline="0">
              <a:solidFill>
                <a:srgbClr val="000000"/>
              </a:solidFill>
              <a:latin typeface="Arial" panose="020B0604020202020204" pitchFamily="34" charset="0"/>
              <a:cs typeface="Arial" panose="020B0604020202020204" pitchFamily="34" charset="0"/>
            </a:rPr>
            <a:t> </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(1)  Liquidity</a:t>
          </a: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Current Ratio anslyis: Tootsie Roll has a much stronger liquidity position compared to Hershey in both 2023 and 2022. A current ratio above 1 indicates that Tootsie Roll has sufficient current assets to cover its liabilities, while Hershey is below the desired threshold of 1, indicating potential liquidity risk.</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Quick Ratio analyis: Tootsie Roll again performs better in terms of immediate liquidity in both 2023 and 2022, with a quick ratio over 1. Hershey's quick ratio below 1 suggests challenges in meeting short-term obligations without relying on inventory sales.</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Therefore, Tootsie Roll has a stronger liquidity position compared to Hershey.</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(2)  Asset Management</a:t>
          </a:r>
        </a:p>
        <a:p>
          <a:r>
            <a:rPr lang="en-US" sz="900" b="1">
              <a:latin typeface="Arial" panose="020B0604020202020204" pitchFamily="34" charset="0"/>
              <a:cs typeface="Arial" panose="020B0604020202020204" pitchFamily="34" charset="0"/>
            </a:rPr>
            <a:t>Total Asset Turnover</a:t>
          </a:r>
          <a:r>
            <a:rPr lang="en-US" sz="900">
              <a:latin typeface="Arial" panose="020B0604020202020204" pitchFamily="34" charset="0"/>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1"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Analysis</a:t>
          </a:r>
          <a:r>
            <a:rPr kumimoji="0" lang="en-US" sz="900" b="0" i="0" u="none" strike="noStrike" kern="0" cap="none" spc="0" normalizeH="0" baseline="0" noProof="0">
              <a:ln>
                <a:noFill/>
              </a:ln>
              <a:solidFill>
                <a:sysClr val="windowText" lastClr="000000"/>
              </a:solidFill>
              <a:effectLst/>
              <a:uLnTx/>
              <a:uFillTx/>
              <a:latin typeface="Arial" panose="020B0604020202020204" pitchFamily="34" charset="0"/>
              <a:ea typeface="+mn-ea"/>
              <a:cs typeface="Arial" panose="020B0604020202020204" pitchFamily="34" charset="0"/>
            </a:rPr>
            <a:t>: </a:t>
          </a:r>
          <a:r>
            <a:rPr lang="en-US" sz="900">
              <a:latin typeface="Arial" panose="020B0604020202020204" pitchFamily="34" charset="0"/>
              <a:cs typeface="Arial" panose="020B0604020202020204" pitchFamily="34" charset="0"/>
            </a:rPr>
            <a:t>In both 2022 and 2023, Hershey demonstrated a higher asset turnover (0.95 in 2022 and 0.94 in 2023) compared to Tootsie Roll (0.67 in 2022 and 0.71 in 2023), indicating that Hershey more efficiently used its assets to generate sales. Tootsie Roll’s asset turnover improved slightly in 2023, showing some progress, but Hershey continued to outperform, reflecting greater efficiency in asset management throughout both years.</a:t>
          </a:r>
        </a:p>
        <a:p>
          <a:pPr marL="0" marR="0" lvl="0" indent="0" defTabSz="914400" eaLnBrk="1" fontAlgn="auto" latinLnBrk="0" hangingPunct="1">
            <a:lnSpc>
              <a:spcPct val="100000"/>
            </a:lnSpc>
            <a:spcBef>
              <a:spcPts val="0"/>
            </a:spcBef>
            <a:spcAft>
              <a:spcPts val="0"/>
            </a:spcAft>
            <a:buClrTx/>
            <a:buSzTx/>
            <a:buFontTx/>
            <a:buNone/>
            <a:tabLst/>
            <a:defRPr/>
          </a:pPr>
          <a:endParaRPr lang="en-US" sz="900" b="1">
            <a:latin typeface="Arial" panose="020B0604020202020204" pitchFamily="34" charset="0"/>
            <a:cs typeface="Arial" panose="020B0604020202020204" pitchFamily="34" charset="0"/>
          </a:endParaRPr>
        </a:p>
        <a:p>
          <a:r>
            <a:rPr lang="en-US" sz="900" b="1">
              <a:latin typeface="Arial" panose="020B0604020202020204" pitchFamily="34" charset="0"/>
              <a:cs typeface="Arial" panose="020B0604020202020204" pitchFamily="34" charset="0"/>
            </a:rPr>
            <a:t>Average Collection Period</a:t>
          </a:r>
          <a:r>
            <a:rPr lang="en-US" sz="900">
              <a:latin typeface="Arial" panose="020B0604020202020204" pitchFamily="34" charset="0"/>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900" b="1">
              <a:latin typeface="Arial" panose="020B0604020202020204" pitchFamily="34" charset="0"/>
              <a:cs typeface="Arial" panose="020B0604020202020204" pitchFamily="34" charset="0"/>
            </a:rPr>
            <a:t>Analysis</a:t>
          </a:r>
          <a:r>
            <a:rPr lang="en-US" sz="900">
              <a:latin typeface="Arial" panose="020B0604020202020204" pitchFamily="34" charset="0"/>
              <a:cs typeface="Arial" panose="020B0604020202020204" pitchFamily="34" charset="0"/>
            </a:rPr>
            <a:t>: In 2023, Hershey's extremely high average collection period (</a:t>
          </a:r>
          <a:r>
            <a:rPr lang="en-US" sz="900">
              <a:solidFill>
                <a:srgbClr val="FF0000"/>
              </a:solidFill>
              <a:latin typeface="Arial" panose="020B0604020202020204" pitchFamily="34" charset="0"/>
              <a:cs typeface="Arial" panose="020B0604020202020204" pitchFamily="34" charset="0"/>
            </a:rPr>
            <a:t>747.99 days</a:t>
          </a:r>
          <a:r>
            <a:rPr lang="en-US" sz="900">
              <a:latin typeface="Arial" panose="020B0604020202020204" pitchFamily="34" charset="0"/>
              <a:cs typeface="Arial" panose="020B0604020202020204" pitchFamily="34" charset="0"/>
            </a:rPr>
            <a:t>) suggests significant inefficiency in collecting receivables, while Tootsie Roll’s much lower collection period (26.36 days) indicates more effective receivables management. In 2022, Hershey had a significantly shorter collection period (24.91 days) compared to Tootsie Roll (31.11 days), reflecting better receivables management that year, while Tootsie Roll showed slight improvement in 2023.</a:t>
          </a:r>
          <a:endParaRPr lang="en-US" sz="900">
            <a:effectLst/>
            <a:latin typeface="Arial" panose="020B0604020202020204" pitchFamily="34" charset="0"/>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900" b="0" i="0" baseline="0">
              <a:effectLst/>
              <a:latin typeface="Arial" panose="020B0604020202020204" pitchFamily="34" charset="0"/>
              <a:ea typeface="+mn-ea"/>
              <a:cs typeface="Arial" panose="020B0604020202020204" pitchFamily="34" charset="0"/>
            </a:rPr>
            <a:t>Therefore, Hershey's asset management is more efficient, as it generates more sales with its assets and collects receivables faster.</a:t>
          </a: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(3)  Debt Management: </a:t>
          </a:r>
        </a:p>
        <a:p>
          <a:r>
            <a:rPr lang="en-US" sz="900" b="1">
              <a:effectLst/>
              <a:latin typeface="Arial" panose="020B0604020202020204" pitchFamily="34" charset="0"/>
              <a:ea typeface="+mn-ea"/>
              <a:cs typeface="Arial" panose="020B0604020202020204" pitchFamily="34" charset="0"/>
            </a:rPr>
            <a:t>Debt Ratio</a:t>
          </a:r>
          <a:r>
            <a:rPr lang="en-US" sz="900">
              <a:effectLst/>
              <a:latin typeface="Arial" panose="020B0604020202020204" pitchFamily="34" charset="0"/>
              <a:ea typeface="+mn-ea"/>
              <a:cs typeface="Arial" panose="020B0604020202020204" pitchFamily="34" charset="0"/>
            </a:rPr>
            <a:t>:</a:t>
          </a:r>
          <a:endParaRPr lang="en-US" sz="900">
            <a:effectLst/>
            <a:latin typeface="Arial" panose="020B0604020202020204" pitchFamily="34" charset="0"/>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900" b="1">
              <a:effectLst/>
              <a:latin typeface="Arial" panose="020B0604020202020204" pitchFamily="34" charset="0"/>
              <a:ea typeface="+mn-ea"/>
              <a:cs typeface="Arial" panose="020B0604020202020204" pitchFamily="34" charset="0"/>
            </a:rPr>
            <a:t>Analysis</a:t>
          </a:r>
          <a:r>
            <a:rPr lang="en-US" sz="900">
              <a:effectLst/>
              <a:latin typeface="Arial" panose="020B0604020202020204" pitchFamily="34" charset="0"/>
              <a:ea typeface="+mn-ea"/>
              <a:cs typeface="Arial" panose="020B0604020202020204" pitchFamily="34" charset="0"/>
            </a:rPr>
            <a:t>: </a:t>
          </a:r>
          <a:r>
            <a:rPr lang="en-US" sz="900">
              <a:latin typeface="Arial" panose="020B0604020202020204" pitchFamily="34" charset="0"/>
              <a:cs typeface="Arial" panose="020B0604020202020204" pitchFamily="34" charset="0"/>
            </a:rPr>
            <a:t>In 2023, Tootsie Roll's lower debt ratio of 24.09% indicates less reliance on borrowed funds for its operations, while Hershey's higher debt ratio of 65.56% shows greater dependence on debt, which introduces higher financial risk but also potential tax advantages through interest deductions. In 2022, Hershey had an even higher debt ratio of 69.86%, reflecting a greater reliance on debt financing compared to 2023, whereas Tootsie Roll's debt ratio remained relatively stable at 23.15%, signaling a consistent and conservative approach to financing.</a:t>
          </a:r>
        </a:p>
        <a:p>
          <a:pPr marL="0" marR="0" lvl="0" indent="0" defTabSz="914400" eaLnBrk="1" fontAlgn="auto" latinLnBrk="0" hangingPunct="1">
            <a:lnSpc>
              <a:spcPct val="100000"/>
            </a:lnSpc>
            <a:spcBef>
              <a:spcPts val="0"/>
            </a:spcBef>
            <a:spcAft>
              <a:spcPts val="0"/>
            </a:spcAft>
            <a:buClrTx/>
            <a:buSzTx/>
            <a:buFontTx/>
            <a:buNone/>
            <a:tabLst/>
            <a:defRPr/>
          </a:pPr>
          <a:endParaRPr lang="en-US" sz="900">
            <a:latin typeface="Arial" panose="020B0604020202020204" pitchFamily="34" charset="0"/>
            <a:cs typeface="Arial" panose="020B0604020202020204" pitchFamily="34" charset="0"/>
          </a:endParaRPr>
        </a:p>
        <a:p>
          <a:r>
            <a:rPr lang="en-US" sz="900" b="1">
              <a:effectLst/>
              <a:latin typeface="Arial" panose="020B0604020202020204" pitchFamily="34" charset="0"/>
              <a:ea typeface="+mn-ea"/>
              <a:cs typeface="Arial" panose="020B0604020202020204" pitchFamily="34" charset="0"/>
            </a:rPr>
            <a:t>Times Interest Earned</a:t>
          </a:r>
          <a:r>
            <a:rPr lang="en-US" sz="900">
              <a:effectLst/>
              <a:latin typeface="Arial" panose="020B0604020202020204" pitchFamily="34" charset="0"/>
              <a:ea typeface="+mn-ea"/>
              <a:cs typeface="Arial" panose="020B0604020202020204" pitchFamily="34" charset="0"/>
            </a:rPr>
            <a:t>:</a:t>
          </a:r>
          <a:endParaRPr lang="en-US" sz="900">
            <a:effectLst/>
            <a:latin typeface="Arial" panose="020B0604020202020204" pitchFamily="34" charset="0"/>
            <a:cs typeface="Arial" panose="020B0604020202020204" pitchFamily="34" charset="0"/>
          </a:endParaRPr>
        </a:p>
        <a:p>
          <a:r>
            <a:rPr lang="en-US" sz="900" b="1">
              <a:effectLst/>
              <a:latin typeface="Arial" panose="020B0604020202020204" pitchFamily="34" charset="0"/>
              <a:ea typeface="+mn-ea"/>
              <a:cs typeface="Arial" panose="020B0604020202020204" pitchFamily="34" charset="0"/>
            </a:rPr>
            <a:t>Analysis</a:t>
          </a:r>
          <a:r>
            <a:rPr lang="en-US" sz="900">
              <a:effectLst/>
              <a:latin typeface="Arial" panose="020B0604020202020204" pitchFamily="34" charset="0"/>
              <a:ea typeface="+mn-ea"/>
              <a:cs typeface="Arial" panose="020B0604020202020204" pitchFamily="34" charset="0"/>
            </a:rPr>
            <a:t>: </a:t>
          </a:r>
          <a:r>
            <a:rPr lang="en-US" sz="900">
              <a:latin typeface="Arial" panose="020B0604020202020204" pitchFamily="34" charset="0"/>
              <a:cs typeface="Arial" panose="020B0604020202020204" pitchFamily="34" charset="0"/>
            </a:rPr>
            <a:t>In 2023, Tootsie Roll’s Times Interest Earned (TIE) ratio of 356.77 indicates solid profitability and effective debt management, while Hershey’s negative ratio of -16.77 suggests significant financial distress and challenges in covering interest obligations, highlighting Tootsie Roll's stability compared to Hershey's risky financial position. Similarly, in 2022, Tootsie Roll had a much higher TIE ratio of 944.66, reflecting a very strong ability to cover interest payments, whereas Hershey had a negative TIE ratio of -16.44, indicating it was unable to generate sufficient operating income to cover interest expenses in both years.</a:t>
          </a: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Therefore, Tootsie Roll has a lower level of debt and a stronger ability to service its debt compared to Hershey.</a:t>
          </a: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(4)  Profitability:</a:t>
          </a:r>
        </a:p>
        <a:p>
          <a:r>
            <a:rPr lang="en-US" sz="900" b="1">
              <a:latin typeface="Arial" panose="020B0604020202020204" pitchFamily="34" charset="0"/>
              <a:cs typeface="Arial" panose="020B0604020202020204" pitchFamily="34" charset="0"/>
            </a:rPr>
            <a:t>Net Profit Margin</a:t>
          </a:r>
          <a:r>
            <a:rPr lang="en-US" sz="900">
              <a:latin typeface="Arial" panose="020B0604020202020204" pitchFamily="34" charset="0"/>
              <a:cs typeface="Arial" panose="020B0604020202020204" pitchFamily="34" charset="0"/>
            </a:rPr>
            <a:t>:</a:t>
          </a:r>
        </a:p>
        <a:p>
          <a:r>
            <a:rPr lang="en-US" sz="900" b="1">
              <a:latin typeface="Arial" panose="020B0604020202020204" pitchFamily="34" charset="0"/>
              <a:cs typeface="Arial" panose="020B0604020202020204" pitchFamily="34" charset="0"/>
            </a:rPr>
            <a:t>Analysis</a:t>
          </a:r>
          <a:r>
            <a:rPr lang="en-US" sz="900">
              <a:latin typeface="Arial" panose="020B0604020202020204" pitchFamily="34" charset="0"/>
              <a:cs typeface="Arial" panose="020B0604020202020204" pitchFamily="34" charset="0"/>
            </a:rPr>
            <a:t>: In 2023, Hershey's net profit margin of 16.68% indicates greater profitability, as it retains a larger portion of its revenue as profit compared to Tootsie Roll's net profit margin of 11.95%. In 2022, Hershey also demonstrated stronger profitability with a net profit margin of 15.79%, while Tootsie Roll had a solid but lower net profit margin of 11.05%. This trend highlights Hershey's consistent ability to generate higher profits from its revenue compared to Tootsie Roll.</a:t>
          </a:r>
        </a:p>
        <a:p>
          <a:endParaRPr lang="en-US" sz="900" b="1">
            <a:latin typeface="Arial" panose="020B0604020202020204" pitchFamily="34" charset="0"/>
            <a:cs typeface="Arial" panose="020B0604020202020204" pitchFamily="34" charset="0"/>
          </a:endParaRPr>
        </a:p>
        <a:p>
          <a:r>
            <a:rPr lang="en-US" sz="900" b="1">
              <a:latin typeface="Arial" panose="020B0604020202020204" pitchFamily="34" charset="0"/>
              <a:cs typeface="Arial" panose="020B0604020202020204" pitchFamily="34" charset="0"/>
            </a:rPr>
            <a:t>Return on Assets (ROA)</a:t>
          </a:r>
          <a:r>
            <a:rPr lang="en-US" sz="900">
              <a:latin typeface="Arial" panose="020B0604020202020204" pitchFamily="34" charset="0"/>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900" b="1">
              <a:latin typeface="Arial" panose="020B0604020202020204" pitchFamily="34" charset="0"/>
              <a:cs typeface="Arial" panose="020B0604020202020204" pitchFamily="34" charset="0"/>
            </a:rPr>
            <a:t>Analysis</a:t>
          </a:r>
          <a:r>
            <a:rPr lang="en-US" sz="900">
              <a:latin typeface="Arial" panose="020B0604020202020204" pitchFamily="34" charset="0"/>
              <a:cs typeface="Arial" panose="020B0604020202020204" pitchFamily="34" charset="0"/>
            </a:rPr>
            <a:t>: In 2023, Hershey's Return on Assets (ROA) of 15.64% is nearly double that of Tootsie Roll's ROA of 8.48%, indicating more effective utilization of assets in generating profits. Similarly, in 2022, Hershey maintained a significantly higher ROA of 15.02%, reflecting its efficient use of assets, while Tootsie Roll's lower ROA of 7.45% suggests less efficiency in asset utilization.</a:t>
          </a:r>
        </a:p>
        <a:p>
          <a:pPr marL="0" marR="0" lvl="0" indent="0" defTabSz="914400" rtl="0" eaLnBrk="1" fontAlgn="auto" latinLnBrk="0" hangingPunct="1">
            <a:lnSpc>
              <a:spcPct val="100000"/>
            </a:lnSpc>
            <a:spcBef>
              <a:spcPts val="0"/>
            </a:spcBef>
            <a:spcAft>
              <a:spcPts val="0"/>
            </a:spcAft>
            <a:buClrTx/>
            <a:buSzTx/>
            <a:buFontTx/>
            <a:buNone/>
            <a:tabLst/>
            <a:defRPr/>
          </a:pPr>
          <a:endParaRPr lang="en-US" sz="900">
            <a:latin typeface="Arial" panose="020B0604020202020204" pitchFamily="34" charset="0"/>
            <a:cs typeface="Arial" panose="020B0604020202020204" pitchFamily="34" charset="0"/>
          </a:endParaRPr>
        </a:p>
        <a:p>
          <a:r>
            <a:rPr lang="en-US" sz="900" b="1">
              <a:effectLst/>
              <a:latin typeface="Arial" panose="020B0604020202020204" pitchFamily="34" charset="0"/>
              <a:ea typeface="+mn-ea"/>
              <a:cs typeface="Arial" panose="020B0604020202020204" pitchFamily="34" charset="0"/>
            </a:rPr>
            <a:t>Return on Equity (ROE)</a:t>
          </a:r>
          <a:r>
            <a:rPr lang="en-US" sz="900">
              <a:effectLst/>
              <a:latin typeface="Arial" panose="020B0604020202020204" pitchFamily="34" charset="0"/>
              <a:ea typeface="+mn-ea"/>
              <a:cs typeface="Arial" panose="020B0604020202020204" pitchFamily="34" charset="0"/>
            </a:rPr>
            <a:t>:</a:t>
          </a:r>
          <a:endParaRPr lang="en-US" sz="900">
            <a:effectLst/>
            <a:latin typeface="Arial" panose="020B0604020202020204" pitchFamily="34" charset="0"/>
            <a:cs typeface="Arial" panose="020B0604020202020204" pitchFamily="34" charset="0"/>
          </a:endParaRPr>
        </a:p>
        <a:p>
          <a:pPr eaLnBrk="1" fontAlgn="auto" latinLnBrk="0" hangingPunct="1"/>
          <a:r>
            <a:rPr lang="en-US" sz="900" b="1">
              <a:effectLst/>
              <a:latin typeface="Arial" panose="020B0604020202020204" pitchFamily="34" charset="0"/>
              <a:ea typeface="+mn-ea"/>
              <a:cs typeface="Arial" panose="020B0604020202020204" pitchFamily="34" charset="0"/>
            </a:rPr>
            <a:t>Analysis</a:t>
          </a:r>
          <a:r>
            <a:rPr lang="en-US" sz="900">
              <a:effectLst/>
              <a:latin typeface="Arial" panose="020B0604020202020204" pitchFamily="34" charset="0"/>
              <a:ea typeface="+mn-ea"/>
              <a:cs typeface="Arial" panose="020B0604020202020204" pitchFamily="34" charset="0"/>
            </a:rPr>
            <a:t>: </a:t>
          </a:r>
          <a:r>
            <a:rPr lang="en-US" sz="900">
              <a:latin typeface="Arial" panose="020B0604020202020204" pitchFamily="34" charset="0"/>
              <a:cs typeface="Arial" panose="020B0604020202020204" pitchFamily="34" charset="0"/>
            </a:rPr>
            <a:t>In 2023, Hershey’s Return on Equity (ROE) of 45.42% was significantly higher than Tootsie Roll’s ROE of 11.17%, primarily due to Hershey’s greater use of financial leverage, while Tootsie Roll's more conservative approach resulted in a lower but stable ROE. Similarly, in 2022, Hershey maintained a higher ROE of 48.85% compared to Tootsie Roll’s 9.70%, demonstrating consistent outperformance driven by profitability and leverage in both years.</a:t>
          </a:r>
        </a:p>
        <a:p>
          <a:pPr eaLnBrk="1" fontAlgn="auto" latinLnBrk="0" hangingPunct="1"/>
          <a:endParaRPr lang="en-US" sz="900">
            <a:latin typeface="Arial" panose="020B0604020202020204" pitchFamily="34" charset="0"/>
            <a:cs typeface="Arial" panose="020B0604020202020204" pitchFamily="34" charset="0"/>
          </a:endParaRPr>
        </a:p>
        <a:p>
          <a:r>
            <a:rPr lang="en-US" sz="900" b="1">
              <a:effectLst/>
              <a:latin typeface="Arial" panose="020B0604020202020204" pitchFamily="34" charset="0"/>
              <a:ea typeface="+mn-ea"/>
              <a:cs typeface="Arial" panose="020B0604020202020204" pitchFamily="34" charset="0"/>
            </a:rPr>
            <a:t>Extended Du Pont equation:</a:t>
          </a:r>
        </a:p>
        <a:p>
          <a:r>
            <a:rPr lang="en-US" sz="900" b="1">
              <a:effectLst/>
              <a:latin typeface="Arial" panose="020B0604020202020204" pitchFamily="34" charset="0"/>
              <a:ea typeface="+mn-ea"/>
              <a:cs typeface="Arial" panose="020B0604020202020204" pitchFamily="34" charset="0"/>
            </a:rPr>
            <a:t>In 2023, Tootsie Roll</a:t>
          </a:r>
          <a:r>
            <a:rPr lang="en-US" sz="900">
              <a:effectLst/>
              <a:latin typeface="Arial" panose="020B0604020202020204" pitchFamily="34" charset="0"/>
              <a:ea typeface="+mn-ea"/>
              <a:cs typeface="Arial" panose="020B0604020202020204" pitchFamily="34" charset="0"/>
            </a:rPr>
            <a:t>: </a:t>
          </a:r>
          <a:r>
            <a:rPr lang="en-US" sz="900" baseline="0">
              <a:effectLst/>
              <a:latin typeface="Arial" panose="020B0604020202020204" pitchFamily="34" charset="0"/>
              <a:ea typeface="+mn-ea"/>
              <a:cs typeface="Arial" panose="020B0604020202020204" pitchFamily="34" charset="0"/>
            </a:rPr>
            <a:t> and </a:t>
          </a:r>
          <a:r>
            <a:rPr lang="en-US" sz="900" b="1">
              <a:effectLst/>
              <a:latin typeface="Arial" panose="020B0604020202020204" pitchFamily="34" charset="0"/>
              <a:ea typeface="+mn-ea"/>
              <a:cs typeface="Arial" panose="020B0604020202020204" pitchFamily="34" charset="0"/>
            </a:rPr>
            <a:t>Hershey</a:t>
          </a:r>
          <a:r>
            <a:rPr lang="en-US" sz="900">
              <a:effectLst/>
              <a:latin typeface="Arial" panose="020B0604020202020204" pitchFamily="34" charset="0"/>
              <a:ea typeface="+mn-ea"/>
              <a:cs typeface="Arial" panose="020B0604020202020204" pitchFamily="34" charset="0"/>
            </a:rPr>
            <a:t>: </a:t>
          </a:r>
          <a:endParaRPr lang="en-US" sz="900">
            <a:effectLst/>
            <a:latin typeface="Arial" panose="020B0604020202020204" pitchFamily="34" charset="0"/>
            <a:cs typeface="Arial" panose="020B0604020202020204" pitchFamily="34" charset="0"/>
          </a:endParaRPr>
        </a:p>
        <a:p>
          <a:pPr eaLnBrk="1" fontAlgn="auto" latinLnBrk="0" hangingPunct="1"/>
          <a:r>
            <a:rPr lang="en-US" sz="900" b="1">
              <a:effectLst/>
              <a:latin typeface="Arial" panose="020B0604020202020204" pitchFamily="34" charset="0"/>
              <a:ea typeface="+mn-ea"/>
              <a:cs typeface="Arial" panose="020B0604020202020204" pitchFamily="34" charset="0"/>
            </a:rPr>
            <a:t>In 2022, Tootsie Roll</a:t>
          </a:r>
          <a:r>
            <a:rPr lang="en-US" sz="900">
              <a:effectLst/>
              <a:latin typeface="Arial" panose="020B0604020202020204" pitchFamily="34" charset="0"/>
              <a:ea typeface="+mn-ea"/>
              <a:cs typeface="Arial" panose="020B0604020202020204" pitchFamily="34" charset="0"/>
            </a:rPr>
            <a:t>: </a:t>
          </a:r>
          <a:r>
            <a:rPr lang="en-US" sz="900" baseline="0">
              <a:effectLst/>
              <a:latin typeface="Arial" panose="020B0604020202020204" pitchFamily="34" charset="0"/>
              <a:ea typeface="+mn-ea"/>
              <a:cs typeface="Arial" panose="020B0604020202020204" pitchFamily="34" charset="0"/>
            </a:rPr>
            <a:t> and </a:t>
          </a:r>
          <a:r>
            <a:rPr lang="en-US" sz="900" b="1">
              <a:effectLst/>
              <a:latin typeface="Arial" panose="020B0604020202020204" pitchFamily="34" charset="0"/>
              <a:ea typeface="+mn-ea"/>
              <a:cs typeface="Arial" panose="020B0604020202020204" pitchFamily="34" charset="0"/>
            </a:rPr>
            <a:t>Hershey</a:t>
          </a:r>
          <a:r>
            <a:rPr lang="en-US" sz="900">
              <a:effectLst/>
              <a:latin typeface="Arial" panose="020B0604020202020204" pitchFamily="34" charset="0"/>
              <a:ea typeface="+mn-ea"/>
              <a:cs typeface="Arial" panose="020B0604020202020204" pitchFamily="34" charset="0"/>
            </a:rPr>
            <a:t>: </a:t>
          </a:r>
          <a:endParaRPr lang="en-US" sz="900">
            <a:effectLst/>
            <a:latin typeface="Arial" panose="020B0604020202020204" pitchFamily="34" charset="0"/>
            <a:cs typeface="Arial" panose="020B0604020202020204" pitchFamily="34" charset="0"/>
          </a:endParaRPr>
        </a:p>
        <a:p>
          <a:pPr eaLnBrk="1" fontAlgn="auto" latinLnBrk="0" hangingPunct="1"/>
          <a:r>
            <a:rPr lang="en-US" sz="900" b="1">
              <a:effectLst/>
              <a:latin typeface="Arial" panose="020B0604020202020204" pitchFamily="34" charset="0"/>
              <a:ea typeface="+mn-ea"/>
              <a:cs typeface="Arial" panose="020B0604020202020204" pitchFamily="34" charset="0"/>
            </a:rPr>
            <a:t>Analysis</a:t>
          </a:r>
          <a:r>
            <a:rPr lang="en-US" sz="900">
              <a:effectLst/>
              <a:latin typeface="Arial" panose="020B0604020202020204" pitchFamily="34" charset="0"/>
              <a:ea typeface="+mn-ea"/>
              <a:cs typeface="Arial" panose="020B0604020202020204" pitchFamily="34" charset="0"/>
            </a:rPr>
            <a:t>: </a:t>
          </a:r>
          <a:endParaRPr lang="en-US" sz="900">
            <a:latin typeface="Arial" panose="020B0604020202020204" pitchFamily="34" charset="0"/>
            <a:cs typeface="Arial" panose="020B0604020202020204"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900">
              <a:latin typeface="Arial" panose="020B0604020202020204" pitchFamily="34" charset="0"/>
              <a:cs typeface="Arial" panose="020B0604020202020204" pitchFamily="34" charset="0"/>
            </a:rPr>
            <a:t>Therefore, </a:t>
          </a:r>
          <a:r>
            <a:rPr lang="en-US" sz="900" b="0" i="0" baseline="0">
              <a:effectLst/>
              <a:latin typeface="Arial" panose="020B0604020202020204" pitchFamily="34" charset="0"/>
              <a:ea typeface="+mn-ea"/>
              <a:cs typeface="Arial" panose="020B0604020202020204" pitchFamily="34" charset="0"/>
            </a:rPr>
            <a:t>Hershey's profitability ratios are stronger, indicating it is more efficient in generating profits.</a:t>
          </a:r>
          <a:endParaRPr lang="en-US" sz="900">
            <a:latin typeface="Arial" panose="020B0604020202020204" pitchFamily="34" charset="0"/>
            <a:cs typeface="Arial" panose="020B0604020202020204" pitchFamily="34" charset="0"/>
          </a:endParaRPr>
        </a:p>
        <a:p>
          <a:pPr algn="l" rtl="0">
            <a:defRPr sz="1000"/>
          </a:pPr>
          <a:endParaRPr lang="en-US" sz="900" b="0" i="0" u="none" strike="noStrike" baseline="0">
            <a:solidFill>
              <a:srgbClr val="000000"/>
            </a:solidFill>
            <a:latin typeface="Arial" panose="020B0604020202020204" pitchFamily="34" charset="0"/>
            <a:cs typeface="Arial" panose="020B0604020202020204" pitchFamily="34" charset="0"/>
          </a:endParaRPr>
        </a:p>
        <a:p>
          <a:pPr algn="l" rtl="0">
            <a:defRPr sz="1000"/>
          </a:pPr>
          <a:r>
            <a:rPr lang="en-US" sz="900" b="0" i="0" u="none" strike="noStrike" baseline="0">
              <a:solidFill>
                <a:srgbClr val="000000"/>
              </a:solidFill>
              <a:latin typeface="Arial" panose="020B0604020202020204" pitchFamily="34" charset="0"/>
              <a:cs typeface="Arial" panose="020B0604020202020204" pitchFamily="34" charset="0"/>
            </a:rPr>
            <a:t>(5)  Market Value Ratios:  </a:t>
          </a:r>
        </a:p>
        <a:p>
          <a:r>
            <a:rPr lang="en-US" sz="900" b="1">
              <a:latin typeface="Arial" panose="020B0604020202020204" pitchFamily="34" charset="0"/>
              <a:cs typeface="Arial" panose="020B0604020202020204" pitchFamily="34" charset="0"/>
            </a:rPr>
            <a:t>PE Ratio:</a:t>
          </a:r>
        </a:p>
        <a:p>
          <a:r>
            <a:rPr lang="en-US" sz="900" b="1">
              <a:latin typeface="Arial" panose="020B0604020202020204" pitchFamily="34" charset="0"/>
              <a:cs typeface="Arial" panose="020B0604020202020204" pitchFamily="34" charset="0"/>
            </a:rPr>
            <a:t>Analysis</a:t>
          </a:r>
          <a:r>
            <a:rPr lang="en-US" sz="900">
              <a:latin typeface="Arial" panose="020B0604020202020204" pitchFamily="34" charset="0"/>
              <a:cs typeface="Arial" panose="020B0604020202020204" pitchFamily="34" charset="0"/>
            </a:rPr>
            <a:t>: In 2023, Tootsie Roll had a price-to-earnings (P/E) ratio of $23.72, slightly higher than Hershey's P/E ratio of $21.48. This suggests that investors may expect higher future growth from Tootsie Roll or that it is relatively more expensive than Hershey on a price-to-earnings basis.</a:t>
          </a:r>
        </a:p>
        <a:p>
          <a:endParaRPr lang="en-US" sz="900">
            <a:latin typeface="Arial" panose="020B0604020202020204" pitchFamily="34" charset="0"/>
            <a:cs typeface="Arial" panose="020B0604020202020204" pitchFamily="34" charset="0"/>
          </a:endParaRPr>
        </a:p>
        <a:p>
          <a:r>
            <a:rPr lang="en-US" sz="900" b="1">
              <a:latin typeface="Arial" panose="020B0604020202020204" pitchFamily="34" charset="0"/>
              <a:cs typeface="Arial" panose="020B0604020202020204" pitchFamily="34" charset="0"/>
            </a:rPr>
            <a:t>Market to book ratio</a:t>
          </a:r>
        </a:p>
        <a:p>
          <a:r>
            <a:rPr lang="en-US" sz="900" b="1">
              <a:effectLst/>
              <a:latin typeface="Arial" panose="020B0604020202020204" pitchFamily="34" charset="0"/>
              <a:ea typeface="+mn-ea"/>
              <a:cs typeface="Arial" panose="020B0604020202020204" pitchFamily="34" charset="0"/>
            </a:rPr>
            <a:t>Tootsie Roll</a:t>
          </a:r>
          <a:r>
            <a:rPr lang="en-US" sz="900">
              <a:effectLst/>
              <a:latin typeface="Arial" panose="020B0604020202020204" pitchFamily="34" charset="0"/>
              <a:ea typeface="+mn-ea"/>
              <a:cs typeface="Arial" panose="020B0604020202020204" pitchFamily="34" charset="0"/>
            </a:rPr>
            <a:t>: With a market price of $31.41 per share and a PE ratio of $23.72, investors are likely seeing steady growth prospects, but this may be due to its lower debt levels and solid liquidity.</a:t>
          </a:r>
          <a:endParaRPr lang="en-US" sz="900">
            <a:effectLst/>
            <a:latin typeface="Arial" panose="020B0604020202020204" pitchFamily="34" charset="0"/>
            <a:cs typeface="Arial" panose="020B0604020202020204" pitchFamily="34" charset="0"/>
          </a:endParaRPr>
        </a:p>
        <a:p>
          <a:r>
            <a:rPr lang="en-US" sz="900" b="1">
              <a:effectLst/>
              <a:latin typeface="Arial" panose="020B0604020202020204" pitchFamily="34" charset="0"/>
              <a:ea typeface="+mn-ea"/>
              <a:cs typeface="Arial" panose="020B0604020202020204" pitchFamily="34" charset="0"/>
            </a:rPr>
            <a:t>Hershey</a:t>
          </a:r>
          <a:r>
            <a:rPr lang="en-US" sz="900">
              <a:effectLst/>
              <a:latin typeface="Arial" panose="020B0604020202020204" pitchFamily="34" charset="0"/>
              <a:ea typeface="+mn-ea"/>
              <a:cs typeface="Arial" panose="020B0604020202020204" pitchFamily="34" charset="0"/>
            </a:rPr>
            <a:t>: At a market price of $193.36 and a PE ratio of $21.48, Hershey’s market value seems justified by its strong profitability (net margin, ROA, and ROE) despite its higher leverage. Investors may view Hershey as a more aggressive growth opportunity due to its financial structure and profitability.</a:t>
          </a:r>
          <a:endParaRPr lang="en-US" sz="900">
            <a:effectLst/>
            <a:latin typeface="Arial" panose="020B0604020202020204" pitchFamily="34" charset="0"/>
            <a:cs typeface="Arial" panose="020B0604020202020204" pitchFamily="34" charset="0"/>
          </a:endParaRPr>
        </a:p>
        <a:p>
          <a:r>
            <a:rPr lang="en-US" sz="900" b="0" i="0" baseline="0">
              <a:effectLst/>
              <a:latin typeface="Arial" panose="020B0604020202020204" pitchFamily="34" charset="0"/>
              <a:ea typeface="+mn-ea"/>
              <a:cs typeface="Arial" panose="020B0604020202020204" pitchFamily="34" charset="0"/>
            </a:rPr>
            <a:t>Therefore, The market is valuing Hershey's stock more highly relative to its earnings compared to Tootsie Roll.</a:t>
          </a:r>
        </a:p>
        <a:p>
          <a:endParaRPr lang="en-US" sz="900">
            <a:effectLst/>
            <a:latin typeface="Arial" panose="020B0604020202020204" pitchFamily="34" charset="0"/>
            <a:cs typeface="Arial" panose="020B0604020202020204" pitchFamily="34" charset="0"/>
          </a:endParaRPr>
        </a:p>
        <a:p>
          <a:r>
            <a:rPr lang="en-US" sz="900">
              <a:effectLst/>
              <a:latin typeface="Arial" panose="020B0604020202020204" pitchFamily="34" charset="0"/>
              <a:ea typeface="+mn-ea"/>
              <a:cs typeface="Arial" panose="020B0604020202020204" pitchFamily="34" charset="0"/>
            </a:rPr>
            <a:t>In conclusion, Hershey demonstrates superior profitability, asset efficiency, and return on equity, but with higher debt and potential liquidity concerns. Tootsie Roll is more conservative, with stronger liquidity and lower debt, but it lags in profitability and asset utilization.</a:t>
          </a:r>
        </a:p>
        <a:p>
          <a:pPr marL="0" marR="0" lvl="0" indent="0" defTabSz="914400" rtl="0" eaLnBrk="1" fontAlgn="auto" latinLnBrk="0" hangingPunct="1">
            <a:lnSpc>
              <a:spcPct val="100000"/>
            </a:lnSpc>
            <a:spcBef>
              <a:spcPts val="0"/>
            </a:spcBef>
            <a:spcAft>
              <a:spcPts val="0"/>
            </a:spcAft>
            <a:buClrTx/>
            <a:buSzTx/>
            <a:buFontTx/>
            <a:buNone/>
            <a:tabLst/>
            <a:defRPr/>
          </a:pPr>
          <a:r>
            <a:rPr lang="en-US" sz="900" b="0" i="0" baseline="0">
              <a:effectLst/>
              <a:latin typeface="Arial" panose="020B0604020202020204" pitchFamily="34" charset="0"/>
              <a:ea typeface="+mn-ea"/>
              <a:cs typeface="Arial" panose="020B0604020202020204" pitchFamily="34" charset="0"/>
            </a:rPr>
            <a:t>Overall, Hershey appears to have a stronger financial position than Tootsie Roll. It has a more efficient asset management strategy, a higher level of profitability, and a higher market valuation. However, Tootsie Roll has a stronger liquidity position and a lower level of debt, which could provide it with greater financial flexibility.</a:t>
          </a:r>
          <a:endParaRPr lang="en-US" sz="900">
            <a:effectLst/>
            <a:latin typeface="Arial" panose="020B0604020202020204" pitchFamily="34" charset="0"/>
            <a:cs typeface="Arial" panose="020B0604020202020204" pitchFamily="34" charset="0"/>
          </a:endParaRPr>
        </a:p>
        <a:p>
          <a:endParaRPr lang="en-US" sz="1000">
            <a:effectLst/>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endParaRPr lang="en-US" sz="1000">
            <a:latin typeface="Arial" panose="020B0604020202020204" pitchFamily="34" charset="0"/>
            <a:cs typeface="Arial" panose="020B0604020202020204" pitchFamily="34" charset="0"/>
          </a:endParaRPr>
        </a:p>
        <a:p>
          <a:pPr algn="l" rtl="0">
            <a:defRPr sz="1000"/>
          </a:pPr>
          <a:endParaRPr lang="en-US" sz="1000" b="0" i="0" u="none" strike="noStrike" baseline="0">
            <a:solidFill>
              <a:srgbClr val="000000"/>
            </a:solidFill>
            <a:latin typeface="Arial"/>
            <a:cs typeface="Aria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0</xdr:colOff>
      <xdr:row>62</xdr:row>
      <xdr:rowOff>0</xdr:rowOff>
    </xdr:from>
    <xdr:to>
      <xdr:col>7</xdr:col>
      <xdr:colOff>381000</xdr:colOff>
      <xdr:row>67</xdr:row>
      <xdr:rowOff>1270</xdr:rowOff>
    </xdr:to>
    <xdr:sp macro="" textlink="">
      <xdr:nvSpPr>
        <xdr:cNvPr id="2" name="Text Box 2">
          <a:extLst>
            <a:ext uri="{FF2B5EF4-FFF2-40B4-BE49-F238E27FC236}">
              <a16:creationId xmlns:a16="http://schemas.microsoft.com/office/drawing/2014/main" id="{CADD6AD4-BE7D-47D5-8EC4-DAD6B4331F75}"/>
            </a:ext>
          </a:extLst>
        </xdr:cNvPr>
        <xdr:cNvSpPr txBox="1">
          <a:spLocks noChangeArrowheads="1"/>
        </xdr:cNvSpPr>
      </xdr:nvSpPr>
      <xdr:spPr bwMode="auto">
        <a:xfrm flipH="1">
          <a:off x="6477000" y="10401300"/>
          <a:ext cx="381000" cy="810895"/>
        </a:xfrm>
        <a:prstGeom prst="rect">
          <a:avLst/>
        </a:prstGeom>
        <a:noFill/>
        <a:ln w="9525">
          <a:no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0</xdr:rowOff>
    </xdr:from>
    <xdr:to>
      <xdr:col>5</xdr:col>
      <xdr:colOff>0</xdr:colOff>
      <xdr:row>0</xdr:row>
      <xdr:rowOff>0</xdr:rowOff>
    </xdr:to>
    <xdr:sp macro="" textlink="">
      <xdr:nvSpPr>
        <xdr:cNvPr id="13313" name="Text Box 1">
          <a:extLst>
            <a:ext uri="{FF2B5EF4-FFF2-40B4-BE49-F238E27FC236}">
              <a16:creationId xmlns:a16="http://schemas.microsoft.com/office/drawing/2014/main" id="{00000000-0008-0000-0200-000001340000}"/>
            </a:ext>
          </a:extLst>
        </xdr:cNvPr>
        <xdr:cNvSpPr txBox="1">
          <a:spLocks noChangeArrowheads="1"/>
        </xdr:cNvSpPr>
      </xdr:nvSpPr>
      <xdr:spPr bwMode="auto">
        <a:xfrm>
          <a:off x="1958340" y="0"/>
          <a:ext cx="1463040" cy="0"/>
        </a:xfrm>
        <a:prstGeom prst="rect">
          <a:avLst/>
        </a:prstGeom>
        <a:solidFill>
          <a:srgbClr val="FFFFFF"/>
        </a:solidFill>
        <a:ln w="9525">
          <a:noFill/>
          <a:miter lim="800000"/>
          <a:headEnd/>
          <a:tailEnd/>
        </a:ln>
      </xdr:spPr>
      <xdr:txBody>
        <a:bodyPr vertOverflow="clip" wrap="square" lIns="36576" tIns="27432" rIns="0" bIns="0" anchor="t" upright="1"/>
        <a:lstStyle/>
        <a:p>
          <a:pPr algn="l" rtl="0">
            <a:defRPr sz="1000"/>
          </a:pPr>
          <a:r>
            <a:rPr lang="en-US" sz="1000" b="0" i="0" u="none" strike="noStrike" baseline="0">
              <a:solidFill>
                <a:srgbClr val="000000"/>
              </a:solidFill>
              <a:latin typeface="Arial"/>
              <a:cs typeface="Arial"/>
            </a:rPr>
            <a:t>Going from 0 to 100 percent payout would have two possible effects. First, it might affect the price of the stock causing a change in the formula value of the warrant; however, it is not at all clear that the stock price would change, let alone what the change would be. Second, and more important here, the increase in the payout ratio drastically lowers the expected growth rate. This reduces the chance of the stock going up in the future. This lowers the expected value of the warrant, hence the premium and the price of the warrant.</a:t>
          </a:r>
        </a:p>
      </xdr:txBody>
    </xdr:sp>
    <xdr:clientData/>
  </xdr:twoCellAnchor>
  <xdr:twoCellAnchor editAs="oneCell">
    <xdr:from>
      <xdr:col>5</xdr:col>
      <xdr:colOff>0</xdr:colOff>
      <xdr:row>60</xdr:row>
      <xdr:rowOff>0</xdr:rowOff>
    </xdr:from>
    <xdr:to>
      <xdr:col>5</xdr:col>
      <xdr:colOff>381000</xdr:colOff>
      <xdr:row>65</xdr:row>
      <xdr:rowOff>1270</xdr:rowOff>
    </xdr:to>
    <xdr:sp macro="" textlink="">
      <xdr:nvSpPr>
        <xdr:cNvPr id="13359" name="Text Box 2">
          <a:extLst>
            <a:ext uri="{FF2B5EF4-FFF2-40B4-BE49-F238E27FC236}">
              <a16:creationId xmlns:a16="http://schemas.microsoft.com/office/drawing/2014/main" id="{00000000-0008-0000-0200-00002F340000}"/>
            </a:ext>
          </a:extLst>
        </xdr:cNvPr>
        <xdr:cNvSpPr txBox="1">
          <a:spLocks noChangeArrowheads="1"/>
        </xdr:cNvSpPr>
      </xdr:nvSpPr>
      <xdr:spPr bwMode="auto">
        <a:xfrm flipH="1">
          <a:off x="3756660" y="9090660"/>
          <a:ext cx="381000" cy="830580"/>
        </a:xfrm>
        <a:prstGeom prst="rect">
          <a:avLst/>
        </a:prstGeom>
        <a:noFill/>
        <a:ln w="9525">
          <a:no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L25"/>
  <sheetViews>
    <sheetView tabSelected="1" zoomScaleNormal="110" zoomScaleSheetLayoutView="80" workbookViewId="0">
      <selection activeCell="J21" sqref="J21"/>
    </sheetView>
  </sheetViews>
  <sheetFormatPr defaultColWidth="9.140625" defaultRowHeight="12.75"/>
  <cols>
    <col min="1" max="1" width="2.7109375" style="23" customWidth="1"/>
    <col min="2" max="2" width="33" style="23" customWidth="1"/>
    <col min="3" max="5" width="11.7109375" style="23" customWidth="1"/>
    <col min="6" max="6" width="11" style="23" customWidth="1"/>
    <col min="7" max="7" width="2.7109375" style="23" customWidth="1"/>
    <col min="8" max="8" width="26.7109375" style="23" customWidth="1"/>
    <col min="9" max="9" width="13.85546875" style="23" bestFit="1" customWidth="1"/>
    <col min="10" max="12" width="11.7109375" style="23" customWidth="1"/>
    <col min="13" max="13" width="2.7109375" style="23" customWidth="1"/>
    <col min="14" max="16384" width="9.140625" style="23"/>
  </cols>
  <sheetData>
    <row r="1" spans="2:12" ht="20.25" customHeight="1">
      <c r="B1" s="88" t="s">
        <v>89</v>
      </c>
      <c r="C1" s="89"/>
      <c r="D1" s="89"/>
      <c r="E1" s="89"/>
      <c r="F1" s="89"/>
      <c r="G1" s="89"/>
      <c r="H1" s="89"/>
      <c r="I1" s="89"/>
      <c r="J1" s="89"/>
      <c r="K1" s="89"/>
      <c r="L1" s="49"/>
    </row>
    <row r="2" spans="2:12" ht="20.25" customHeight="1" thickBot="1">
      <c r="B2" s="90" t="s">
        <v>35</v>
      </c>
      <c r="C2" s="91"/>
      <c r="D2" s="91"/>
      <c r="E2" s="91"/>
      <c r="F2" s="91"/>
      <c r="G2" s="91"/>
      <c r="H2" s="91"/>
      <c r="I2" s="91"/>
      <c r="J2" s="91"/>
      <c r="K2" s="91"/>
      <c r="L2" s="50"/>
    </row>
    <row r="3" spans="2:12" ht="15.75">
      <c r="B3" s="30"/>
      <c r="C3" s="30"/>
      <c r="D3" s="30"/>
      <c r="E3" s="30"/>
      <c r="F3" s="30"/>
      <c r="G3" s="30"/>
      <c r="H3" s="30"/>
      <c r="I3" s="30"/>
      <c r="J3" s="30"/>
      <c r="K3" s="30"/>
      <c r="L3" s="30"/>
    </row>
    <row r="4" spans="2:12" ht="14.25" customHeight="1">
      <c r="B4" s="95" t="s">
        <v>95</v>
      </c>
      <c r="C4" s="95"/>
      <c r="D4" s="95"/>
      <c r="E4" s="95"/>
      <c r="F4" s="95"/>
      <c r="G4" s="95"/>
      <c r="H4" s="95"/>
      <c r="I4" s="95"/>
      <c r="J4" s="95"/>
      <c r="K4" s="95"/>
      <c r="L4" s="95"/>
    </row>
    <row r="5" spans="2:12" ht="14.25" customHeight="1">
      <c r="B5" s="95"/>
      <c r="C5" s="95"/>
      <c r="D5" s="95"/>
      <c r="E5" s="95"/>
      <c r="F5" s="95"/>
      <c r="G5" s="95"/>
      <c r="H5" s="95"/>
      <c r="I5" s="95"/>
      <c r="J5" s="95"/>
      <c r="K5" s="95"/>
      <c r="L5" s="95"/>
    </row>
    <row r="6" spans="2:12" ht="18.600000000000001" customHeight="1">
      <c r="B6" s="95"/>
      <c r="C6" s="95"/>
      <c r="D6" s="95"/>
      <c r="E6" s="95"/>
      <c r="F6" s="95"/>
      <c r="G6" s="95"/>
      <c r="H6" s="95"/>
      <c r="I6" s="95"/>
      <c r="J6" s="95"/>
      <c r="K6" s="95"/>
      <c r="L6" s="95"/>
    </row>
    <row r="7" spans="2:12" ht="15.75">
      <c r="B7" s="30"/>
      <c r="C7" s="30"/>
      <c r="D7" s="30"/>
      <c r="E7" s="30"/>
      <c r="F7" s="30"/>
      <c r="G7" s="30"/>
      <c r="H7" s="30"/>
      <c r="I7" s="30"/>
      <c r="J7" s="30"/>
      <c r="K7" s="30"/>
      <c r="L7" s="30"/>
    </row>
    <row r="8" spans="2:12" ht="13.5" thickBot="1"/>
    <row r="9" spans="2:12">
      <c r="C9" s="92" t="s">
        <v>53</v>
      </c>
      <c r="D9" s="93"/>
      <c r="E9" s="93"/>
      <c r="F9" s="94"/>
      <c r="G9" s="52"/>
      <c r="H9" s="52"/>
      <c r="I9" s="92" t="s">
        <v>36</v>
      </c>
      <c r="J9" s="93"/>
      <c r="K9" s="93"/>
      <c r="L9" s="94"/>
    </row>
    <row r="10" spans="2:12" ht="13.5" thickBot="1">
      <c r="C10" s="31">
        <v>2023</v>
      </c>
      <c r="D10" s="31">
        <v>2022</v>
      </c>
      <c r="E10" s="31"/>
      <c r="F10" s="69"/>
      <c r="G10" s="52"/>
      <c r="H10" s="52"/>
      <c r="I10" s="31">
        <v>2023</v>
      </c>
      <c r="J10" s="31">
        <v>2022</v>
      </c>
      <c r="K10" s="31"/>
      <c r="L10" s="69"/>
    </row>
    <row r="12" spans="2:12">
      <c r="B12" s="24" t="s">
        <v>8</v>
      </c>
      <c r="C12" s="25">
        <f>'FS, TR'!B30/'FS, TR'!B47</f>
        <v>3.590032459320462</v>
      </c>
      <c r="D12" s="25">
        <f>'FS, TR'!C30/'FS, TR'!C47</f>
        <v>3.4285397297357267</v>
      </c>
      <c r="E12" s="25"/>
      <c r="F12" s="65"/>
      <c r="H12" s="24" t="s">
        <v>8</v>
      </c>
      <c r="I12" s="25">
        <f>'FS, HSY'!B30/'FS, HSY'!B44</f>
        <v>0.96800607109806303</v>
      </c>
      <c r="J12" s="25">
        <f>'FS, HSY'!C30/'FS, HSY'!C44</f>
        <v>0.80450786177135003</v>
      </c>
      <c r="K12" s="25"/>
      <c r="L12" s="65"/>
    </row>
    <row r="13" spans="2:12">
      <c r="B13" s="23" t="s">
        <v>16</v>
      </c>
      <c r="C13" s="25">
        <f>('FS, TR'!B30-'FS, TR'!B26)/'FS, TR'!B47</f>
        <v>2.5896846808869403</v>
      </c>
      <c r="D13" s="25">
        <f>('FS, TR'!C30-'FS, TR'!C26)/'FS, TR'!C47</f>
        <v>2.4936427985000109</v>
      </c>
      <c r="E13" s="25"/>
      <c r="F13" s="65"/>
      <c r="H13" s="23" t="s">
        <v>16</v>
      </c>
      <c r="I13" s="25">
        <f>('FS, HSY'!B30-'FS, HSY'!B28)/'FS, HSY'!B44</f>
        <v>0.52224839380498023</v>
      </c>
      <c r="J13" s="25">
        <f>('FS, HSY'!C30-'FS, HSY'!C28)/'FS, HSY'!C44</f>
        <v>0.44434097988612142</v>
      </c>
      <c r="K13" s="25"/>
      <c r="L13" s="65"/>
    </row>
    <row r="14" spans="2:12">
      <c r="B14" s="23" t="s">
        <v>96</v>
      </c>
      <c r="C14" s="25">
        <f>'FS, TR'!B6/'FS, TR'!B39</f>
        <v>0.7094903959918516</v>
      </c>
      <c r="D14" s="25">
        <f>'FS, TR'!C6/'FS, TR'!C39</f>
        <v>0.67430718536601164</v>
      </c>
      <c r="E14" s="25"/>
      <c r="F14" s="65"/>
      <c r="H14" s="23" t="s">
        <v>96</v>
      </c>
      <c r="I14" s="25">
        <f>'FS, HSY'!B6/'FS, HSY'!B36</f>
        <v>0.93800280115645374</v>
      </c>
      <c r="J14" s="25">
        <f>'FS, HSY'!C6/'FS, HSY'!C36</f>
        <v>0.95163624938577851</v>
      </c>
      <c r="K14" s="25"/>
      <c r="L14" s="65"/>
    </row>
    <row r="15" spans="2:12">
      <c r="B15" s="23" t="s">
        <v>60</v>
      </c>
      <c r="C15" s="25">
        <f>('FS, TR'!B24/'FS, TR'!B6)*365</f>
        <v>26.362415758450151</v>
      </c>
      <c r="D15" s="25">
        <f>('FS, TR'!C24/'FS, TR'!C6)*365</f>
        <v>31.111897171637768</v>
      </c>
      <c r="E15" s="25"/>
      <c r="F15" s="65"/>
      <c r="H15" s="23" t="s">
        <v>60</v>
      </c>
      <c r="I15" s="25">
        <f>('FS, HSY'!B27/'FS, HSY'!B6)*365</f>
        <v>26.925250371876665</v>
      </c>
      <c r="J15" s="25">
        <f>('FS, HSY'!C27/'FS, HSY'!C6)*365</f>
        <v>24.914269143379578</v>
      </c>
      <c r="K15" s="25"/>
      <c r="L15" s="65"/>
    </row>
    <row r="16" spans="2:12">
      <c r="B16" s="23" t="s">
        <v>71</v>
      </c>
      <c r="C16" s="51">
        <f>'FS, TR'!B51/'FS, TR'!B39</f>
        <v>0.24094998944107798</v>
      </c>
      <c r="D16" s="51">
        <f>'FS, TR'!C51/'FS, TR'!C39</f>
        <v>0.23154874609704362</v>
      </c>
      <c r="E16" s="51"/>
      <c r="F16" s="66"/>
      <c r="H16" s="23" t="s">
        <v>71</v>
      </c>
      <c r="I16" s="72">
        <f>'FS, HSY'!B48/'FS, HSY'!B36</f>
        <v>0.65562410164009044</v>
      </c>
      <c r="J16" s="72">
        <f>'FS, HSY'!C48/'FS, HSY'!C36</f>
        <v>0.69863930542286745</v>
      </c>
      <c r="K16" s="51"/>
      <c r="L16" s="66"/>
    </row>
    <row r="17" spans="2:12">
      <c r="B17" s="23" t="s">
        <v>72</v>
      </c>
      <c r="C17" s="27">
        <f>'FS, TR'!B11/'FS, TR'!B12</f>
        <v>356.76854599406528</v>
      </c>
      <c r="D17" s="27">
        <f>'FS, TR'!C11/'FS, TR'!C12</f>
        <v>944.66346153846155</v>
      </c>
      <c r="E17" s="27"/>
      <c r="F17" s="67"/>
      <c r="H17" s="23" t="s">
        <v>72</v>
      </c>
      <c r="I17" s="27">
        <f>'FS, HSY'!B13/'FS, HSY'!B14</f>
        <v>-16.871673749052938</v>
      </c>
      <c r="J17" s="27">
        <f>'FS, HSY'!C13/'FS, HSY'!C14</f>
        <v>-16.43527410455302</v>
      </c>
      <c r="K17" s="27"/>
      <c r="L17" s="67"/>
    </row>
    <row r="18" spans="2:12">
      <c r="B18" s="24" t="s">
        <v>10</v>
      </c>
      <c r="C18" s="28">
        <f>'FS, TR'!B16/'FS, TR'!B6</f>
        <v>0.1194647534005316</v>
      </c>
      <c r="D18" s="28">
        <f>'FS, TR'!C16/'FS, TR'!C6</f>
        <v>0.11053903372781926</v>
      </c>
      <c r="E18" s="28"/>
      <c r="F18" s="68"/>
      <c r="H18" s="24" t="s">
        <v>10</v>
      </c>
      <c r="I18" s="28">
        <f>'FS, HSY'!B18/'FS, HSY'!B6</f>
        <v>0.16675220188245546</v>
      </c>
      <c r="J18" s="28">
        <f>'FS, HSY'!C18/'FS, HSY'!C6</f>
        <v>0.15786261525972872</v>
      </c>
      <c r="K18" s="28"/>
      <c r="L18" s="68"/>
    </row>
    <row r="19" spans="2:12">
      <c r="B19" s="23" t="s">
        <v>61</v>
      </c>
      <c r="C19" s="28">
        <f>'FS, TR'!B16/'FS, TR'!B39</f>
        <v>8.4759095197212073E-2</v>
      </c>
      <c r="D19" s="28">
        <f>'FS, TR'!C16/'FS, TR'!C39</f>
        <v>7.4537264706084447E-2</v>
      </c>
      <c r="E19" s="28"/>
      <c r="F19" s="68"/>
      <c r="H19" s="23" t="s">
        <v>61</v>
      </c>
      <c r="I19" s="28">
        <f>'FS, HSY'!B18/'FS, HSY'!B36</f>
        <v>0.15641403246474969</v>
      </c>
      <c r="J19" s="28">
        <f>'FS, HSY'!C18/'FS, HSY'!C36</f>
        <v>0.15022778710399842</v>
      </c>
      <c r="K19" s="26"/>
      <c r="L19" s="70"/>
    </row>
    <row r="20" spans="2:12">
      <c r="B20" s="23" t="s">
        <v>62</v>
      </c>
      <c r="C20" s="46">
        <f>'FS, TR'!B16/'FS, TR'!B60</f>
        <v>0.11166470458883232</v>
      </c>
      <c r="D20" s="46">
        <f>'FS, TR'!C16/'FS, TR'!C60</f>
        <v>9.6996737694825017E-2</v>
      </c>
      <c r="E20" s="28"/>
      <c r="F20" s="68"/>
      <c r="G20" s="29"/>
      <c r="H20" s="23" t="s">
        <v>62</v>
      </c>
      <c r="I20" s="46">
        <f>'FS, HSY'!B18/'FS, HSY'!B58</f>
        <v>0.4541956426383833</v>
      </c>
      <c r="J20" s="46">
        <f>'FS, HSY'!C18/'FS, HSY'!C58</f>
        <v>0.49849827733771696</v>
      </c>
      <c r="K20" s="28"/>
      <c r="L20" s="68"/>
    </row>
    <row r="21" spans="2:12">
      <c r="C21" s="82"/>
      <c r="D21" s="82"/>
      <c r="E21" s="83"/>
      <c r="G21" s="29"/>
      <c r="I21" s="82"/>
      <c r="J21" s="82"/>
      <c r="K21" s="83"/>
    </row>
    <row r="22" spans="2:12" ht="13.5" customHeight="1">
      <c r="B22" s="42" t="s">
        <v>99</v>
      </c>
      <c r="C22" s="86">
        <v>31.41</v>
      </c>
      <c r="D22" s="1"/>
      <c r="E22" s="83"/>
      <c r="G22" s="29"/>
      <c r="H22" s="42" t="s">
        <v>99</v>
      </c>
      <c r="I22" s="86">
        <v>193.36</v>
      </c>
      <c r="J22" s="82"/>
      <c r="K22" s="83"/>
    </row>
    <row r="23" spans="2:12">
      <c r="B23" s="23" t="s">
        <v>98</v>
      </c>
      <c r="C23" s="84">
        <v>1.3240000000000001</v>
      </c>
      <c r="D23" s="84"/>
      <c r="E23" s="83"/>
      <c r="G23" s="29"/>
      <c r="H23" s="23" t="s">
        <v>98</v>
      </c>
      <c r="I23" s="84">
        <v>9</v>
      </c>
      <c r="J23" s="84"/>
      <c r="K23" s="83"/>
    </row>
    <row r="24" spans="2:12" ht="13.5" thickBot="1"/>
    <row r="25" spans="2:12" ht="13.5" thickBot="1">
      <c r="B25" s="23" t="s">
        <v>42</v>
      </c>
      <c r="C25" s="87">
        <v>23.72</v>
      </c>
      <c r="D25" s="84"/>
      <c r="H25" s="23" t="s">
        <v>42</v>
      </c>
      <c r="I25" s="85">
        <f>I22/I23</f>
        <v>21.484444444444446</v>
      </c>
    </row>
  </sheetData>
  <mergeCells count="5">
    <mergeCell ref="B1:K1"/>
    <mergeCell ref="B2:K2"/>
    <mergeCell ref="C9:F9"/>
    <mergeCell ref="I9:L9"/>
    <mergeCell ref="B4:L6"/>
  </mergeCells>
  <phoneticPr fontId="3" type="noConversion"/>
  <pageMargins left="0.7" right="0.7" top="0.75" bottom="0.75" header="0.3" footer="0.3"/>
  <pageSetup scale="65" fitToHeight="1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28DBF-89DE-4797-B42F-BFB55B8C6E64}">
  <dimension ref="A1:A54"/>
  <sheetViews>
    <sheetView workbookViewId="0"/>
  </sheetViews>
  <sheetFormatPr defaultRowHeight="12.75"/>
  <sheetData>
    <row r="1" spans="1:1">
      <c r="A1" s="101" t="s">
        <v>100</v>
      </c>
    </row>
    <row r="2" spans="1:1">
      <c r="A2" s="102" t="s">
        <v>101</v>
      </c>
    </row>
    <row r="3" spans="1:1">
      <c r="A3" s="103" t="s">
        <v>102</v>
      </c>
    </row>
    <row r="4" spans="1:1">
      <c r="A4" s="103" t="s">
        <v>103</v>
      </c>
    </row>
    <row r="5" spans="1:1">
      <c r="A5" s="103" t="s">
        <v>104</v>
      </c>
    </row>
    <row r="6" spans="1:1">
      <c r="A6" s="102" t="s">
        <v>105</v>
      </c>
    </row>
    <row r="7" spans="1:1">
      <c r="A7" s="44" t="s">
        <v>106</v>
      </c>
    </row>
    <row r="8" spans="1:1">
      <c r="A8" s="44" t="s">
        <v>107</v>
      </c>
    </row>
    <row r="9" spans="1:1">
      <c r="A9" s="104" t="s">
        <v>108</v>
      </c>
    </row>
    <row r="10" spans="1:1">
      <c r="A10" s="104" t="s">
        <v>109</v>
      </c>
    </row>
    <row r="11" spans="1:1">
      <c r="A11" s="44" t="s">
        <v>110</v>
      </c>
    </row>
    <row r="12" spans="1:1">
      <c r="A12" s="44" t="s">
        <v>111</v>
      </c>
    </row>
    <row r="13" spans="1:1">
      <c r="A13" s="44" t="s">
        <v>112</v>
      </c>
    </row>
    <row r="14" spans="1:1">
      <c r="A14" s="44" t="s">
        <v>113</v>
      </c>
    </row>
    <row r="15" spans="1:1">
      <c r="A15" s="105" t="s">
        <v>114</v>
      </c>
    </row>
    <row r="16" spans="1:1">
      <c r="A16" s="102" t="s">
        <v>115</v>
      </c>
    </row>
    <row r="17" spans="1:1">
      <c r="A17" s="44" t="s">
        <v>116</v>
      </c>
    </row>
    <row r="18" spans="1:1">
      <c r="A18" s="44" t="s">
        <v>117</v>
      </c>
    </row>
    <row r="19" spans="1:1">
      <c r="A19" s="44" t="s">
        <v>118</v>
      </c>
    </row>
    <row r="20" spans="1:1">
      <c r="A20" s="44" t="s">
        <v>119</v>
      </c>
    </row>
    <row r="21" spans="1:1">
      <c r="A21" s="44" t="s">
        <v>120</v>
      </c>
    </row>
    <row r="22" spans="1:1">
      <c r="A22" s="44" t="s">
        <v>121</v>
      </c>
    </row>
    <row r="23" spans="1:1">
      <c r="A23" s="44" t="s">
        <v>122</v>
      </c>
    </row>
    <row r="24" spans="1:1" ht="15">
      <c r="A24" s="106" t="s">
        <v>123</v>
      </c>
    </row>
    <row r="25" spans="1:1" ht="15">
      <c r="A25" s="106" t="s">
        <v>124</v>
      </c>
    </row>
    <row r="26" spans="1:1">
      <c r="A26" s="103" t="s">
        <v>125</v>
      </c>
    </row>
    <row r="27" spans="1:1">
      <c r="A27" s="102" t="s">
        <v>126</v>
      </c>
    </row>
    <row r="28" spans="1:1">
      <c r="A28" s="44" t="s">
        <v>127</v>
      </c>
    </row>
    <row r="29" spans="1:1">
      <c r="A29" s="44" t="s">
        <v>128</v>
      </c>
    </row>
    <row r="30" spans="1:1">
      <c r="A30" s="44" t="s">
        <v>129</v>
      </c>
    </row>
    <row r="31" spans="1:1">
      <c r="A31" s="44" t="s">
        <v>130</v>
      </c>
    </row>
    <row r="32" spans="1:1">
      <c r="A32" s="44" t="s">
        <v>131</v>
      </c>
    </row>
    <row r="33" spans="1:1">
      <c r="A33" s="44" t="s">
        <v>132</v>
      </c>
    </row>
    <row r="34" spans="1:1">
      <c r="A34" s="44" t="s">
        <v>133</v>
      </c>
    </row>
    <row r="35" spans="1:1">
      <c r="A35" s="44" t="s">
        <v>134</v>
      </c>
    </row>
    <row r="36" spans="1:1">
      <c r="A36" s="44" t="s">
        <v>135</v>
      </c>
    </row>
    <row r="37" spans="1:1">
      <c r="A37" s="44" t="s">
        <v>136</v>
      </c>
    </row>
    <row r="38" spans="1:1">
      <c r="A38" s="44" t="s">
        <v>137</v>
      </c>
    </row>
    <row r="39" spans="1:1">
      <c r="A39" s="44" t="s">
        <v>138</v>
      </c>
    </row>
    <row r="40" spans="1:1">
      <c r="A40" s="44" t="s">
        <v>139</v>
      </c>
    </row>
    <row r="41" spans="1:1">
      <c r="A41" s="44" t="s">
        <v>140</v>
      </c>
    </row>
    <row r="42" spans="1:1">
      <c r="A42" s="44" t="s">
        <v>141</v>
      </c>
    </row>
    <row r="43" spans="1:1">
      <c r="A43" s="44" t="s">
        <v>142</v>
      </c>
    </row>
    <row r="44" spans="1:1">
      <c r="A44" s="105" t="s">
        <v>143</v>
      </c>
    </row>
    <row r="45" spans="1:1">
      <c r="A45" s="102" t="s">
        <v>144</v>
      </c>
    </row>
    <row r="46" spans="1:1">
      <c r="A46" s="44" t="s">
        <v>145</v>
      </c>
    </row>
    <row r="47" spans="1:1">
      <c r="A47" s="44" t="s">
        <v>146</v>
      </c>
    </row>
    <row r="48" spans="1:1">
      <c r="A48" s="44" t="s">
        <v>147</v>
      </c>
    </row>
    <row r="49" spans="1:1">
      <c r="A49" s="44" t="s">
        <v>148</v>
      </c>
    </row>
    <row r="50" spans="1:1">
      <c r="A50" s="44" t="s">
        <v>149</v>
      </c>
    </row>
    <row r="51" spans="1:1">
      <c r="A51" s="44" t="s">
        <v>150</v>
      </c>
    </row>
    <row r="52" spans="1:1">
      <c r="A52" s="107" t="s">
        <v>151</v>
      </c>
    </row>
    <row r="53" spans="1:1">
      <c r="A53" s="107" t="s">
        <v>152</v>
      </c>
    </row>
    <row r="54" spans="1:1">
      <c r="A54" s="105" t="s">
        <v>153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E2E24-076E-410E-8EE8-5BDDA8172DCE}">
  <dimension ref="A1:O78"/>
  <sheetViews>
    <sheetView topLeftCell="A50" workbookViewId="0">
      <selection activeCell="D57" sqref="D57"/>
    </sheetView>
  </sheetViews>
  <sheetFormatPr defaultRowHeight="12.75"/>
  <cols>
    <col min="1" max="1" width="30.42578125" bestFit="1" customWidth="1"/>
    <col min="2" max="2" width="13.42578125" customWidth="1"/>
    <col min="3" max="3" width="11" customWidth="1"/>
    <col min="4" max="4" width="11.140625" customWidth="1"/>
    <col min="5" max="5" width="9.7109375" bestFit="1" customWidth="1"/>
    <col min="6" max="6" width="11" customWidth="1"/>
    <col min="7" max="7" width="10.42578125" customWidth="1"/>
    <col min="8" max="8" width="10.5703125" customWidth="1"/>
    <col min="9" max="10" width="10.28515625" bestFit="1" customWidth="1"/>
  </cols>
  <sheetData>
    <row r="1" spans="1:10" ht="15.75">
      <c r="A1" s="96" t="s">
        <v>33</v>
      </c>
      <c r="B1" s="96"/>
      <c r="C1" s="96"/>
      <c r="D1" s="96"/>
      <c r="E1" s="96"/>
      <c r="F1" s="96"/>
      <c r="G1" s="96"/>
    </row>
    <row r="3" spans="1:10">
      <c r="I3" s="97" t="s">
        <v>58</v>
      </c>
      <c r="J3" s="97"/>
    </row>
    <row r="4" spans="1:10">
      <c r="A4" s="17" t="s">
        <v>31</v>
      </c>
      <c r="B4" s="17">
        <v>2023</v>
      </c>
      <c r="C4" s="1">
        <v>2022</v>
      </c>
      <c r="D4" s="1">
        <v>2021</v>
      </c>
      <c r="E4" s="1">
        <v>2020</v>
      </c>
      <c r="F4" s="1"/>
      <c r="G4" s="1"/>
      <c r="H4" s="1"/>
      <c r="I4" s="1"/>
      <c r="J4" s="1" t="s">
        <v>58</v>
      </c>
    </row>
    <row r="6" spans="1:10">
      <c r="A6" s="23" t="s">
        <v>70</v>
      </c>
      <c r="B6" s="73">
        <v>769365</v>
      </c>
      <c r="C6" s="4">
        <v>686970</v>
      </c>
      <c r="D6" s="4">
        <v>570776</v>
      </c>
      <c r="E6" s="4">
        <v>471063</v>
      </c>
      <c r="F6" s="4"/>
      <c r="G6" s="4"/>
      <c r="H6" s="4"/>
    </row>
    <row r="7" spans="1:10">
      <c r="A7" t="s">
        <v>29</v>
      </c>
      <c r="B7" s="8">
        <v>512525</v>
      </c>
      <c r="C7" s="6">
        <v>454239</v>
      </c>
      <c r="D7" s="6">
        <v>371535</v>
      </c>
      <c r="E7" s="6">
        <v>300702</v>
      </c>
      <c r="F7" s="6"/>
      <c r="G7" s="6"/>
      <c r="H7" s="6"/>
    </row>
    <row r="8" spans="1:10">
      <c r="A8" s="18" t="s">
        <v>6</v>
      </c>
      <c r="B8" s="74">
        <v>256840</v>
      </c>
      <c r="C8" s="4">
        <f>C6-C7</f>
        <v>232731</v>
      </c>
      <c r="D8" s="4">
        <f>D6-D7</f>
        <v>199241</v>
      </c>
      <c r="E8" s="4">
        <f>E6-E7</f>
        <v>170361</v>
      </c>
      <c r="F8" s="4"/>
      <c r="G8" s="4"/>
      <c r="H8" s="4"/>
    </row>
    <row r="9" spans="1:10">
      <c r="A9" s="2" t="s">
        <v>30</v>
      </c>
      <c r="B9" s="75">
        <v>155012</v>
      </c>
      <c r="C9" s="7">
        <f>121976-104</f>
        <v>121872</v>
      </c>
      <c r="D9" s="7">
        <f>132108-46</f>
        <v>132062</v>
      </c>
      <c r="E9" s="7">
        <f>112117-164</f>
        <v>111953</v>
      </c>
      <c r="F9" s="7"/>
      <c r="G9" s="7"/>
      <c r="H9" s="7"/>
    </row>
    <row r="10" spans="1:10">
      <c r="A10" s="23" t="s">
        <v>97</v>
      </c>
      <c r="B10" s="76">
        <f>18066+337</f>
        <v>18403</v>
      </c>
      <c r="C10" s="8">
        <v>-12614</v>
      </c>
      <c r="D10" s="8">
        <v>18596</v>
      </c>
      <c r="E10" s="8">
        <v>18018</v>
      </c>
      <c r="F10" s="8"/>
      <c r="G10" s="8"/>
      <c r="H10" s="8"/>
    </row>
    <row r="11" spans="1:10">
      <c r="A11" s="2" t="s">
        <v>0</v>
      </c>
      <c r="B11" s="4">
        <f>B8-B9+B10</f>
        <v>120231</v>
      </c>
      <c r="C11" s="4">
        <f>C8-C9+C10</f>
        <v>98245</v>
      </c>
      <c r="D11" s="4">
        <f>D8-D9+D10</f>
        <v>85775</v>
      </c>
      <c r="E11" s="4">
        <f>E8-E9+E10</f>
        <v>76426</v>
      </c>
      <c r="F11" s="4"/>
      <c r="G11" s="4"/>
      <c r="H11" s="4"/>
    </row>
    <row r="12" spans="1:10">
      <c r="A12" s="3" t="s">
        <v>43</v>
      </c>
      <c r="B12" s="77">
        <v>337</v>
      </c>
      <c r="C12" s="35">
        <v>104</v>
      </c>
      <c r="D12" s="35">
        <v>46</v>
      </c>
      <c r="E12" s="35">
        <v>164</v>
      </c>
      <c r="F12" s="35"/>
      <c r="G12" s="35"/>
      <c r="H12" s="35"/>
    </row>
    <row r="13" spans="1:10">
      <c r="A13" s="18" t="s">
        <v>12</v>
      </c>
      <c r="B13" s="4">
        <f>B11-B12</f>
        <v>119894</v>
      </c>
      <c r="C13" s="4">
        <f>C11-C12</f>
        <v>98141</v>
      </c>
      <c r="D13" s="4">
        <f>D11-D12</f>
        <v>85729</v>
      </c>
      <c r="E13" s="4">
        <f>E11-E12</f>
        <v>76262</v>
      </c>
      <c r="F13" s="4"/>
      <c r="G13" s="4"/>
      <c r="H13" s="4"/>
    </row>
    <row r="14" spans="1:10">
      <c r="A14" t="s">
        <v>4</v>
      </c>
      <c r="B14" s="78">
        <v>28008</v>
      </c>
      <c r="C14" s="32">
        <v>22249</v>
      </c>
      <c r="D14" s="32">
        <v>20421</v>
      </c>
      <c r="E14" s="32">
        <v>17288</v>
      </c>
      <c r="F14" s="32"/>
      <c r="G14" s="32"/>
      <c r="H14" s="32"/>
    </row>
    <row r="15" spans="1:10">
      <c r="A15" s="23" t="s">
        <v>54</v>
      </c>
      <c r="B15" s="79">
        <v>26</v>
      </c>
      <c r="C15" s="32">
        <v>45</v>
      </c>
      <c r="D15" s="32">
        <v>18</v>
      </c>
      <c r="E15" s="32">
        <v>21</v>
      </c>
      <c r="F15" s="32"/>
      <c r="G15" s="32"/>
      <c r="H15" s="32"/>
    </row>
    <row r="16" spans="1:10" ht="25.5">
      <c r="A16" s="37" t="s">
        <v>63</v>
      </c>
      <c r="B16" s="11">
        <f>B13-B14+B15</f>
        <v>91912</v>
      </c>
      <c r="C16" s="11">
        <f>C13-C14+C15</f>
        <v>75937</v>
      </c>
      <c r="D16" s="11">
        <f>D13-D14+D15</f>
        <v>65326</v>
      </c>
      <c r="E16" s="11">
        <f>E13-E14+E15</f>
        <v>58995</v>
      </c>
      <c r="F16" s="11"/>
      <c r="G16" s="11"/>
      <c r="H16" s="11"/>
    </row>
    <row r="19" spans="1:10">
      <c r="A19" s="18" t="s">
        <v>32</v>
      </c>
      <c r="B19" s="80">
        <v>2023</v>
      </c>
      <c r="C19" s="1">
        <v>2022</v>
      </c>
      <c r="D19" s="1">
        <v>2021</v>
      </c>
      <c r="E19" s="1">
        <v>2020</v>
      </c>
      <c r="F19" s="1"/>
      <c r="G19" s="1"/>
      <c r="H19" s="1"/>
      <c r="I19" s="97"/>
      <c r="J19" s="97"/>
    </row>
    <row r="20" spans="1:10">
      <c r="I20" s="1"/>
      <c r="J20" s="1"/>
    </row>
    <row r="21" spans="1:10">
      <c r="A21" s="1" t="s">
        <v>7</v>
      </c>
      <c r="B21" s="1"/>
      <c r="C21" s="1"/>
      <c r="D21" s="1"/>
      <c r="E21" s="1"/>
      <c r="F21" s="1"/>
    </row>
    <row r="22" spans="1:10">
      <c r="A22" s="2" t="s">
        <v>86</v>
      </c>
      <c r="B22" s="5">
        <f>75915+375</f>
        <v>76290</v>
      </c>
      <c r="C22" s="5">
        <f>53270+365</f>
        <v>53635</v>
      </c>
      <c r="D22" s="5">
        <f>105840+386</f>
        <v>106226</v>
      </c>
      <c r="E22" s="5">
        <f>166841+415</f>
        <v>167256</v>
      </c>
      <c r="F22" s="5"/>
      <c r="G22" s="5"/>
      <c r="H22" s="5"/>
    </row>
    <row r="23" spans="1:10">
      <c r="A23" s="24" t="s">
        <v>65</v>
      </c>
      <c r="B23" s="5">
        <v>95507</v>
      </c>
      <c r="C23" s="5">
        <v>96128</v>
      </c>
      <c r="D23" s="5">
        <v>39968</v>
      </c>
      <c r="E23" s="5">
        <v>42090</v>
      </c>
      <c r="F23" s="5"/>
      <c r="G23" s="5"/>
      <c r="H23" s="5"/>
    </row>
    <row r="24" spans="1:10">
      <c r="A24" s="23" t="s">
        <v>2</v>
      </c>
      <c r="B24" s="16">
        <v>55568</v>
      </c>
      <c r="C24" s="16">
        <v>58556</v>
      </c>
      <c r="D24" s="16">
        <v>54921</v>
      </c>
      <c r="E24" s="16">
        <v>41209</v>
      </c>
      <c r="F24" s="16"/>
      <c r="G24" s="16"/>
      <c r="H24" s="16"/>
      <c r="I24" s="33"/>
      <c r="J24" s="33"/>
    </row>
    <row r="25" spans="1:10">
      <c r="A25" s="23" t="s">
        <v>64</v>
      </c>
      <c r="B25" s="16">
        <v>9165</v>
      </c>
      <c r="C25" s="16">
        <v>4299</v>
      </c>
      <c r="D25" s="16">
        <v>3920</v>
      </c>
      <c r="E25" s="16">
        <v>3894</v>
      </c>
      <c r="F25" s="16"/>
      <c r="G25" s="16"/>
      <c r="H25" s="16"/>
      <c r="I25" s="33"/>
      <c r="J25" s="33"/>
    </row>
    <row r="26" spans="1:10">
      <c r="A26" s="23" t="s">
        <v>5</v>
      </c>
      <c r="B26" s="16">
        <f>51240+43681</f>
        <v>94921</v>
      </c>
      <c r="C26" s="16">
        <f>43595+40671</f>
        <v>84266</v>
      </c>
      <c r="D26" s="16">
        <f>31431+24074</f>
        <v>55505</v>
      </c>
      <c r="E26" s="16">
        <f>35583+23996</f>
        <v>59579</v>
      </c>
      <c r="F26" s="16"/>
      <c r="G26" s="16"/>
      <c r="H26" s="16"/>
      <c r="I26" s="33"/>
      <c r="J26" s="33"/>
    </row>
    <row r="27" spans="1:10">
      <c r="A27" s="23" t="s">
        <v>79</v>
      </c>
      <c r="B27" s="16">
        <v>0</v>
      </c>
      <c r="C27" s="16">
        <v>0</v>
      </c>
      <c r="D27" s="16">
        <v>0</v>
      </c>
      <c r="E27" s="16">
        <v>0</v>
      </c>
      <c r="F27" s="16"/>
      <c r="G27" s="16"/>
      <c r="H27" s="16"/>
      <c r="I27" s="33"/>
      <c r="J27" s="33"/>
    </row>
    <row r="28" spans="1:10">
      <c r="A28" s="36" t="s">
        <v>56</v>
      </c>
      <c r="B28" s="16">
        <v>9200</v>
      </c>
      <c r="C28" s="16">
        <v>12144</v>
      </c>
      <c r="D28" s="16">
        <v>7761</v>
      </c>
      <c r="E28" s="16">
        <v>6844</v>
      </c>
      <c r="F28" s="16"/>
      <c r="G28" s="16"/>
      <c r="H28" s="16"/>
    </row>
    <row r="29" spans="1:10">
      <c r="A29" s="23" t="s">
        <v>59</v>
      </c>
      <c r="B29" s="8">
        <v>0</v>
      </c>
      <c r="C29" s="8">
        <v>0</v>
      </c>
      <c r="D29" s="8">
        <v>0</v>
      </c>
      <c r="E29" s="8">
        <v>0</v>
      </c>
      <c r="F29" s="8"/>
      <c r="G29" s="8"/>
      <c r="H29" s="8"/>
    </row>
    <row r="30" spans="1:10">
      <c r="A30" s="18" t="s">
        <v>9</v>
      </c>
      <c r="B30" s="22">
        <f>SUM(B22:B29)</f>
        <v>340651</v>
      </c>
      <c r="C30" s="22">
        <f>SUM(C22:C29)</f>
        <v>309028</v>
      </c>
      <c r="D30" s="22">
        <f>SUM(D22:D29)</f>
        <v>268301</v>
      </c>
      <c r="E30" s="22">
        <f>SUM(E22:E29)</f>
        <v>320872</v>
      </c>
      <c r="F30" s="5"/>
      <c r="G30" s="5"/>
      <c r="H30" s="5"/>
    </row>
    <row r="31" spans="1:10">
      <c r="A31" s="18"/>
      <c r="B31" s="18"/>
      <c r="C31" s="5"/>
      <c r="D31" s="5"/>
      <c r="E31" s="5"/>
      <c r="F31" s="5"/>
      <c r="G31" s="5"/>
      <c r="H31" s="5"/>
    </row>
    <row r="32" spans="1:10">
      <c r="A32" s="2" t="s">
        <v>17</v>
      </c>
      <c r="B32" s="16">
        <v>670498</v>
      </c>
      <c r="C32" s="16">
        <v>641182</v>
      </c>
      <c r="D32" s="16">
        <v>621402</v>
      </c>
      <c r="E32" s="16">
        <v>583332</v>
      </c>
      <c r="F32" s="16"/>
      <c r="G32" s="16"/>
      <c r="H32" s="7"/>
    </row>
    <row r="33" spans="1:8">
      <c r="A33" t="s">
        <v>15</v>
      </c>
      <c r="B33" s="20">
        <v>-447520</v>
      </c>
      <c r="C33" s="20">
        <v>-429139</v>
      </c>
      <c r="D33" s="20">
        <v>-412496</v>
      </c>
      <c r="E33" s="20">
        <v>-396004</v>
      </c>
      <c r="F33" s="20"/>
      <c r="G33" s="20"/>
      <c r="H33" s="20"/>
    </row>
    <row r="34" spans="1:8">
      <c r="A34" s="18" t="s">
        <v>18</v>
      </c>
      <c r="B34" s="34">
        <f>SUM(B32:B33)</f>
        <v>222978</v>
      </c>
      <c r="C34" s="34">
        <f>SUM(C32:C33)</f>
        <v>212043</v>
      </c>
      <c r="D34" s="34">
        <f>SUM(D32:D33)</f>
        <v>208906</v>
      </c>
      <c r="E34" s="34">
        <f>SUM(E32:E33)</f>
        <v>187328</v>
      </c>
      <c r="F34" s="34"/>
      <c r="G34" s="34"/>
      <c r="H34" s="34"/>
    </row>
    <row r="35" spans="1:8">
      <c r="A35" s="3" t="s">
        <v>20</v>
      </c>
      <c r="B35" s="7">
        <v>73237</v>
      </c>
      <c r="C35" s="7">
        <v>73237</v>
      </c>
      <c r="D35" s="7">
        <v>73237</v>
      </c>
      <c r="E35" s="7">
        <v>73237</v>
      </c>
      <c r="F35" s="7"/>
      <c r="G35" s="7"/>
      <c r="H35" s="7"/>
    </row>
    <row r="36" spans="1:8">
      <c r="A36" s="3" t="s">
        <v>21</v>
      </c>
      <c r="B36" s="7">
        <v>175024</v>
      </c>
      <c r="C36" s="7">
        <v>175024</v>
      </c>
      <c r="D36" s="7">
        <v>175024</v>
      </c>
      <c r="E36" s="7">
        <v>175024</v>
      </c>
      <c r="F36" s="7"/>
      <c r="G36" s="7"/>
      <c r="H36" s="7"/>
    </row>
    <row r="37" spans="1:8">
      <c r="A37" s="23" t="s">
        <v>66</v>
      </c>
      <c r="B37" s="7">
        <v>255606</v>
      </c>
      <c r="C37" s="7">
        <v>247528</v>
      </c>
      <c r="D37" s="7">
        <v>291175</v>
      </c>
      <c r="E37" s="7">
        <v>220020</v>
      </c>
      <c r="F37" s="7"/>
      <c r="G37" s="7"/>
      <c r="H37" s="7"/>
    </row>
    <row r="38" spans="1:8">
      <c r="A38" t="s">
        <v>22</v>
      </c>
      <c r="B38" s="7">
        <f>15189+1706</f>
        <v>16895</v>
      </c>
      <c r="C38" s="7">
        <f>465+1454</f>
        <v>1919</v>
      </c>
      <c r="D38" s="7">
        <f>603+1372</f>
        <v>1975</v>
      </c>
      <c r="E38" s="7">
        <f>2514+4525+1038</f>
        <v>8077</v>
      </c>
      <c r="F38" s="7"/>
      <c r="G38" s="7"/>
      <c r="H38" s="7"/>
    </row>
    <row r="39" spans="1:8">
      <c r="A39" s="1" t="s">
        <v>44</v>
      </c>
      <c r="B39" s="48">
        <f>B30+SUM(B34:B38)</f>
        <v>1084391</v>
      </c>
      <c r="C39" s="48">
        <f>C30+SUM(C34:C38)</f>
        <v>1018779</v>
      </c>
      <c r="D39" s="48">
        <f>D30+SUM(D34:D38)</f>
        <v>1018618</v>
      </c>
      <c r="E39" s="48">
        <f>E30+SUM(E34:E38)</f>
        <v>984558</v>
      </c>
      <c r="F39" s="48"/>
      <c r="G39" s="71"/>
      <c r="H39" s="10"/>
    </row>
    <row r="40" spans="1:8">
      <c r="G40" s="10"/>
      <c r="H40" s="10"/>
    </row>
    <row r="41" spans="1:8">
      <c r="A41" s="1" t="s">
        <v>11</v>
      </c>
      <c r="B41" s="1"/>
      <c r="C41" s="1"/>
      <c r="D41" s="1"/>
      <c r="E41" s="1"/>
      <c r="F41" s="1"/>
    </row>
    <row r="42" spans="1:8">
      <c r="A42" t="s">
        <v>1</v>
      </c>
      <c r="B42" s="5">
        <v>15816</v>
      </c>
      <c r="C42" s="5">
        <v>25246</v>
      </c>
      <c r="D42" s="5">
        <v>14969</v>
      </c>
      <c r="E42" s="5">
        <v>13025</v>
      </c>
      <c r="F42" s="5"/>
      <c r="G42" s="5"/>
      <c r="H42" s="5"/>
    </row>
    <row r="43" spans="1:8">
      <c r="A43" s="23" t="s">
        <v>80</v>
      </c>
      <c r="B43" s="5">
        <v>1088</v>
      </c>
      <c r="C43" s="5">
        <v>1051</v>
      </c>
      <c r="D43" s="5">
        <v>939</v>
      </c>
      <c r="E43" s="5">
        <v>832</v>
      </c>
      <c r="F43" s="5"/>
      <c r="G43" s="5"/>
      <c r="H43" s="5"/>
    </row>
    <row r="44" spans="1:8">
      <c r="A44" t="s">
        <v>23</v>
      </c>
      <c r="B44" s="7">
        <v>6250</v>
      </c>
      <c r="C44" s="7">
        <v>6154</v>
      </c>
      <c r="D44" s="7">
        <v>6042</v>
      </c>
      <c r="E44" s="7">
        <v>5948</v>
      </c>
      <c r="F44" s="7"/>
      <c r="G44" s="7"/>
      <c r="H44" s="7"/>
    </row>
    <row r="45" spans="1:8">
      <c r="A45" t="s">
        <v>24</v>
      </c>
      <c r="B45" s="16">
        <v>61690</v>
      </c>
      <c r="C45" s="16">
        <v>54444</v>
      </c>
      <c r="D45" s="16">
        <v>53896</v>
      </c>
      <c r="E45" s="16">
        <v>45099</v>
      </c>
      <c r="F45" s="16"/>
      <c r="G45" s="16"/>
      <c r="H45" s="7"/>
    </row>
    <row r="46" spans="1:8">
      <c r="A46" s="23" t="s">
        <v>67</v>
      </c>
      <c r="B46" s="8">
        <f>665+1289+8090</f>
        <v>10044</v>
      </c>
      <c r="C46" s="8">
        <f>658+791+1790</f>
        <v>3239</v>
      </c>
      <c r="D46" s="8">
        <f>616+1072+2434</f>
        <v>4122</v>
      </c>
      <c r="E46" s="8">
        <f>544+780+3793</f>
        <v>5117</v>
      </c>
      <c r="F46" s="8"/>
      <c r="G46" s="8"/>
      <c r="H46" s="8"/>
    </row>
    <row r="47" spans="1:8">
      <c r="A47" s="18" t="s">
        <v>14</v>
      </c>
      <c r="B47" s="5">
        <f>SUM(B42:B46)</f>
        <v>94888</v>
      </c>
      <c r="C47" s="5">
        <f>SUM(C42:C46)</f>
        <v>90134</v>
      </c>
      <c r="D47" s="5">
        <f>SUM(D42:D46)</f>
        <v>79968</v>
      </c>
      <c r="E47" s="5">
        <f>SUM(E42:E46)</f>
        <v>70021</v>
      </c>
      <c r="F47" s="5"/>
      <c r="G47" s="5"/>
      <c r="H47" s="5"/>
    </row>
    <row r="48" spans="1:8">
      <c r="A48" s="24" t="s">
        <v>57</v>
      </c>
      <c r="B48" s="5">
        <v>0</v>
      </c>
      <c r="C48" s="5">
        <v>0</v>
      </c>
      <c r="D48" s="5">
        <v>0</v>
      </c>
      <c r="E48" s="5">
        <v>0</v>
      </c>
      <c r="F48" s="5"/>
      <c r="G48" s="5"/>
      <c r="H48" s="5"/>
    </row>
    <row r="49" spans="1:15">
      <c r="A49" s="24" t="s">
        <v>59</v>
      </c>
      <c r="B49" s="7">
        <v>45477</v>
      </c>
      <c r="C49" s="7">
        <v>45005</v>
      </c>
      <c r="D49" s="7">
        <v>45461</v>
      </c>
      <c r="E49" s="7">
        <v>47900</v>
      </c>
      <c r="F49" s="7"/>
      <c r="G49" s="7"/>
      <c r="H49" s="7"/>
    </row>
    <row r="50" spans="1:15">
      <c r="A50" s="3" t="s">
        <v>25</v>
      </c>
      <c r="B50" s="8">
        <f>166396-45477</f>
        <v>120919</v>
      </c>
      <c r="C50" s="8">
        <f>145763-45005</f>
        <v>100758</v>
      </c>
      <c r="D50" s="8">
        <f>169853-45461</f>
        <v>124392</v>
      </c>
      <c r="E50" s="8">
        <f>151437-47900</f>
        <v>103537</v>
      </c>
      <c r="F50" s="8"/>
      <c r="G50" s="8"/>
      <c r="H50" s="8"/>
    </row>
    <row r="51" spans="1:15">
      <c r="A51" s="18" t="s">
        <v>45</v>
      </c>
      <c r="B51" s="5">
        <f>SUM(B47:B50)</f>
        <v>261284</v>
      </c>
      <c r="C51" s="5">
        <f>SUM(C47:C50)</f>
        <v>235897</v>
      </c>
      <c r="D51" s="5">
        <f>SUM(D47:D50)</f>
        <v>249821</v>
      </c>
      <c r="E51" s="5">
        <f>SUM(E47:E50)</f>
        <v>221458</v>
      </c>
      <c r="F51" s="5"/>
      <c r="G51" s="5"/>
      <c r="H51" s="5"/>
    </row>
    <row r="52" spans="1:15">
      <c r="A52" s="2"/>
      <c r="B52" s="2"/>
      <c r="C52" s="2"/>
      <c r="D52" s="2"/>
      <c r="E52" s="2"/>
      <c r="F52" s="2"/>
      <c r="G52" s="2"/>
      <c r="H52" s="5"/>
    </row>
    <row r="53" spans="1:15">
      <c r="A53" s="3" t="s">
        <v>26</v>
      </c>
      <c r="B53" s="16">
        <v>27777</v>
      </c>
      <c r="C53" s="16">
        <v>27584</v>
      </c>
      <c r="D53" s="16">
        <v>27322</v>
      </c>
      <c r="E53" s="16">
        <v>27134</v>
      </c>
      <c r="F53" s="16"/>
      <c r="G53" s="16"/>
      <c r="H53" s="16"/>
    </row>
    <row r="54" spans="1:15">
      <c r="A54" s="3" t="s">
        <v>52</v>
      </c>
      <c r="B54" s="16">
        <v>20448</v>
      </c>
      <c r="C54" s="16">
        <v>19866</v>
      </c>
      <c r="D54" s="16">
        <v>19300</v>
      </c>
      <c r="E54" s="16">
        <v>18758</v>
      </c>
      <c r="F54" s="16"/>
      <c r="G54" s="16"/>
      <c r="H54" s="16"/>
    </row>
    <row r="55" spans="1:15">
      <c r="A55" s="3" t="s">
        <v>27</v>
      </c>
      <c r="B55" s="7">
        <v>737453</v>
      </c>
      <c r="C55" s="7">
        <v>719606</v>
      </c>
      <c r="D55" s="7">
        <v>709880</v>
      </c>
      <c r="E55" s="7">
        <v>706930</v>
      </c>
      <c r="F55" s="7"/>
      <c r="G55" s="7"/>
      <c r="H55" s="7"/>
    </row>
    <row r="56" spans="1:15">
      <c r="A56" s="3" t="s">
        <v>3</v>
      </c>
      <c r="B56" s="7">
        <v>62949</v>
      </c>
      <c r="C56" s="7">
        <v>48276</v>
      </c>
      <c r="D56" s="7">
        <v>39545</v>
      </c>
      <c r="E56" s="7">
        <v>32312</v>
      </c>
      <c r="F56" s="7"/>
      <c r="G56" s="7"/>
      <c r="H56" s="7"/>
    </row>
    <row r="57" spans="1:15" ht="25.5" customHeight="1">
      <c r="A57" s="47" t="s">
        <v>88</v>
      </c>
      <c r="B57" s="7">
        <v>-23213</v>
      </c>
      <c r="C57" s="7">
        <v>-30169</v>
      </c>
      <c r="D57" s="7">
        <v>-25013</v>
      </c>
      <c r="E57" s="7">
        <v>-19815</v>
      </c>
      <c r="F57" s="7"/>
      <c r="G57" s="7"/>
      <c r="H57" s="7"/>
      <c r="I57" s="98"/>
      <c r="J57" s="98"/>
      <c r="K57" s="98"/>
      <c r="L57" s="98"/>
      <c r="M57" s="98"/>
      <c r="N57" s="98"/>
      <c r="O57" s="98"/>
    </row>
    <row r="58" spans="1:15">
      <c r="A58" s="36" t="s">
        <v>68</v>
      </c>
      <c r="B58" s="16">
        <v>-1992</v>
      </c>
      <c r="C58" s="16">
        <v>-1992</v>
      </c>
      <c r="D58" s="16">
        <v>-1992</v>
      </c>
      <c r="E58" s="16">
        <v>-1992</v>
      </c>
      <c r="F58" s="16"/>
      <c r="G58" s="16"/>
      <c r="H58" s="7"/>
    </row>
    <row r="59" spans="1:15">
      <c r="A59" s="36" t="s">
        <v>69</v>
      </c>
      <c r="B59" s="16">
        <v>-315</v>
      </c>
      <c r="C59" s="16">
        <v>-289</v>
      </c>
      <c r="D59" s="16">
        <v>-245</v>
      </c>
      <c r="E59" s="16">
        <v>-227</v>
      </c>
      <c r="F59" s="16"/>
      <c r="G59" s="16"/>
      <c r="H59" s="16"/>
    </row>
    <row r="60" spans="1:15">
      <c r="A60" s="18" t="s">
        <v>47</v>
      </c>
      <c r="B60" s="9">
        <f>SUM(B53:B59)</f>
        <v>823107</v>
      </c>
      <c r="C60" s="9">
        <f>SUM(C53:C59)</f>
        <v>782882</v>
      </c>
      <c r="D60" s="9">
        <f>SUM(D53:D59)</f>
        <v>768797</v>
      </c>
      <c r="E60" s="9">
        <f>SUM(E53:E59)</f>
        <v>763100</v>
      </c>
      <c r="F60" s="9"/>
      <c r="G60" s="9"/>
      <c r="H60" s="9"/>
    </row>
    <row r="61" spans="1:15">
      <c r="A61" s="18" t="s">
        <v>46</v>
      </c>
      <c r="B61" s="48">
        <f>B51+B60</f>
        <v>1084391</v>
      </c>
      <c r="C61" s="48">
        <f>C51+C60</f>
        <v>1018779</v>
      </c>
      <c r="D61" s="48">
        <f>D51+D60</f>
        <v>1018618</v>
      </c>
      <c r="E61" s="48">
        <f>E51+E60</f>
        <v>984558</v>
      </c>
      <c r="F61" s="48"/>
      <c r="G61" s="48"/>
      <c r="H61" s="10"/>
    </row>
    <row r="62" spans="1:15">
      <c r="A62" s="12"/>
      <c r="B62" s="12"/>
      <c r="C62" s="12"/>
      <c r="D62" s="12"/>
      <c r="E62" s="12"/>
      <c r="F62" s="12"/>
      <c r="G62" s="12"/>
    </row>
    <row r="63" spans="1:15">
      <c r="A63" s="98" t="s">
        <v>87</v>
      </c>
      <c r="B63" s="98"/>
      <c r="C63" s="98"/>
      <c r="D63" s="98"/>
      <c r="E63" s="98"/>
      <c r="F63" s="98"/>
      <c r="G63" s="98"/>
      <c r="H63" s="98"/>
      <c r="I63" s="98"/>
    </row>
    <row r="64" spans="1:15">
      <c r="G64" s="7"/>
    </row>
    <row r="65" spans="1:7">
      <c r="A65" s="19"/>
      <c r="B65" s="19"/>
      <c r="C65" s="19"/>
      <c r="D65" s="19"/>
      <c r="E65" s="19"/>
      <c r="F65" s="1"/>
      <c r="G65" s="1"/>
    </row>
    <row r="66" spans="1:7">
      <c r="A66" s="13"/>
      <c r="B66" s="13"/>
      <c r="C66" s="13"/>
      <c r="D66" s="13"/>
      <c r="E66" s="13"/>
      <c r="F66" s="14"/>
      <c r="G66" s="14"/>
    </row>
    <row r="67" spans="1:7">
      <c r="A67" s="2"/>
      <c r="B67" s="2"/>
      <c r="C67" s="2"/>
      <c r="D67" s="2"/>
      <c r="E67" s="2"/>
      <c r="F67" s="81"/>
      <c r="G67" s="81"/>
    </row>
    <row r="68" spans="1:7">
      <c r="F68" s="14"/>
      <c r="G68" s="14"/>
    </row>
    <row r="69" spans="1:7">
      <c r="A69" s="12"/>
      <c r="B69" s="12"/>
      <c r="C69" s="12"/>
      <c r="D69" s="12"/>
      <c r="E69" s="12"/>
      <c r="F69" s="12"/>
      <c r="G69" s="12"/>
    </row>
    <row r="70" spans="1:7">
      <c r="A70" s="12"/>
      <c r="B70" s="12"/>
      <c r="C70" s="12"/>
      <c r="D70" s="12"/>
      <c r="E70" s="12"/>
      <c r="F70" s="12"/>
      <c r="G70" s="12"/>
    </row>
    <row r="71" spans="1:7">
      <c r="A71" s="12"/>
      <c r="B71" s="12"/>
      <c r="C71" s="12"/>
      <c r="D71" s="12"/>
      <c r="E71" s="12"/>
      <c r="F71" s="12"/>
      <c r="G71" s="12"/>
    </row>
    <row r="72" spans="1:7">
      <c r="A72" s="12"/>
      <c r="B72" s="12"/>
      <c r="C72" s="12"/>
      <c r="D72" s="12"/>
      <c r="E72" s="12"/>
      <c r="F72" s="12"/>
      <c r="G72" s="12"/>
    </row>
    <row r="73" spans="1:7">
      <c r="A73" s="12"/>
      <c r="B73" s="12"/>
      <c r="C73" s="12"/>
      <c r="D73" s="12"/>
      <c r="E73" s="12"/>
      <c r="F73" s="12"/>
      <c r="G73" s="12"/>
    </row>
    <row r="74" spans="1:7">
      <c r="A74" s="12"/>
      <c r="B74" s="12"/>
      <c r="C74" s="12"/>
      <c r="D74" s="12"/>
      <c r="E74" s="12"/>
      <c r="F74" s="12"/>
      <c r="G74" s="12"/>
    </row>
    <row r="75" spans="1:7">
      <c r="A75" s="12"/>
      <c r="B75" s="12"/>
      <c r="C75" s="12"/>
      <c r="D75" s="12"/>
      <c r="E75" s="12"/>
      <c r="F75" s="12"/>
      <c r="G75" s="12"/>
    </row>
    <row r="76" spans="1:7">
      <c r="A76" s="12"/>
      <c r="B76" s="12"/>
      <c r="C76" s="12"/>
      <c r="D76" s="12"/>
      <c r="E76" s="12"/>
      <c r="F76" s="12"/>
      <c r="G76" s="12"/>
    </row>
    <row r="77" spans="1:7">
      <c r="A77" s="12"/>
      <c r="B77" s="12"/>
      <c r="C77" s="12"/>
      <c r="D77" s="12"/>
      <c r="E77" s="12"/>
      <c r="F77" s="12"/>
      <c r="G77" s="12"/>
    </row>
    <row r="78" spans="1:7">
      <c r="A78" s="12"/>
      <c r="B78" s="12"/>
      <c r="C78" s="12"/>
      <c r="D78" s="12"/>
      <c r="E78" s="12"/>
      <c r="F78" s="12"/>
      <c r="G78" s="12"/>
    </row>
  </sheetData>
  <mergeCells count="5">
    <mergeCell ref="A1:G1"/>
    <mergeCell ref="I3:J3"/>
    <mergeCell ref="I19:J19"/>
    <mergeCell ref="I57:O57"/>
    <mergeCell ref="A63:I6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6"/>
  <sheetViews>
    <sheetView topLeftCell="A13" zoomScale="110" zoomScaleNormal="110" workbookViewId="0">
      <selection activeCell="A27" sqref="A27"/>
    </sheetView>
  </sheetViews>
  <sheetFormatPr defaultRowHeight="12.75"/>
  <cols>
    <col min="1" max="1" width="42.85546875" bestFit="1" customWidth="1"/>
    <col min="2" max="5" width="12.28515625" customWidth="1"/>
    <col min="6" max="6" width="6.140625" customWidth="1"/>
    <col min="7" max="8" width="11.28515625" bestFit="1" customWidth="1"/>
    <col min="12" max="12" width="11.28515625" customWidth="1"/>
  </cols>
  <sheetData>
    <row r="1" spans="1:5" ht="15.75">
      <c r="A1" s="96" t="s">
        <v>34</v>
      </c>
      <c r="B1" s="96"/>
      <c r="C1" s="96"/>
      <c r="D1" s="96"/>
      <c r="E1" s="96"/>
    </row>
    <row r="4" spans="1:5">
      <c r="A4" s="17" t="s">
        <v>31</v>
      </c>
      <c r="B4" s="17">
        <v>2023</v>
      </c>
      <c r="C4" s="17">
        <v>2022</v>
      </c>
      <c r="D4" s="17">
        <v>2021</v>
      </c>
      <c r="E4" s="52">
        <v>2020</v>
      </c>
    </row>
    <row r="6" spans="1:5">
      <c r="A6" t="s">
        <v>28</v>
      </c>
      <c r="B6" s="53">
        <v>11164992</v>
      </c>
      <c r="C6" s="53">
        <v>10419294</v>
      </c>
      <c r="D6" s="53">
        <v>8971337</v>
      </c>
      <c r="E6" s="54">
        <v>8149719</v>
      </c>
    </row>
    <row r="7" spans="1:5">
      <c r="A7" s="2" t="s">
        <v>37</v>
      </c>
      <c r="B7" s="40">
        <v>6167176</v>
      </c>
      <c r="C7" s="40">
        <v>5920509</v>
      </c>
      <c r="D7" s="40">
        <v>4922739</v>
      </c>
      <c r="E7" s="40">
        <v>4448450</v>
      </c>
    </row>
    <row r="8" spans="1:5">
      <c r="A8" s="18" t="s">
        <v>6</v>
      </c>
      <c r="B8" s="54">
        <f>B6-B7</f>
        <v>4997816</v>
      </c>
      <c r="C8" s="54">
        <f>C6-C7</f>
        <v>4498785</v>
      </c>
      <c r="D8" s="54">
        <f>D6-D7</f>
        <v>4048598</v>
      </c>
      <c r="E8" s="54">
        <f>E6-E7</f>
        <v>3701269</v>
      </c>
    </row>
    <row r="9" spans="1:5">
      <c r="A9" s="2" t="s">
        <v>30</v>
      </c>
      <c r="B9" s="55">
        <v>2436508</v>
      </c>
      <c r="C9" s="55">
        <v>2236009</v>
      </c>
      <c r="D9" s="55">
        <v>2001351</v>
      </c>
      <c r="E9" s="61">
        <v>1890925</v>
      </c>
    </row>
    <row r="10" spans="1:5">
      <c r="A10" t="s">
        <v>81</v>
      </c>
      <c r="B10" s="56">
        <v>0</v>
      </c>
      <c r="C10" s="56">
        <v>0</v>
      </c>
      <c r="D10" s="56">
        <v>0</v>
      </c>
      <c r="E10" s="16">
        <v>9143</v>
      </c>
    </row>
    <row r="11" spans="1:5">
      <c r="A11" t="s">
        <v>83</v>
      </c>
      <c r="B11" s="57"/>
      <c r="C11" s="57"/>
      <c r="D11" s="57"/>
      <c r="E11" s="16">
        <v>0</v>
      </c>
    </row>
    <row r="12" spans="1:5">
      <c r="A12" t="s">
        <v>82</v>
      </c>
      <c r="B12" s="58">
        <v>441</v>
      </c>
      <c r="C12" s="58">
        <v>1989</v>
      </c>
      <c r="D12" s="58">
        <v>3525</v>
      </c>
      <c r="E12" s="41">
        <v>18503</v>
      </c>
    </row>
    <row r="13" spans="1:5">
      <c r="A13" s="18" t="s">
        <v>0</v>
      </c>
      <c r="B13" s="54">
        <f>B8-SUM(B9:B12)</f>
        <v>2560867</v>
      </c>
      <c r="C13" s="54">
        <f>C8-SUM(C9:C12)</f>
        <v>2260787</v>
      </c>
      <c r="D13" s="54">
        <f>D8-SUM(D9:D12)</f>
        <v>2043722</v>
      </c>
      <c r="E13" s="54">
        <f>E8-SUM(E9:E12)</f>
        <v>1782698</v>
      </c>
    </row>
    <row r="14" spans="1:5">
      <c r="A14" s="24" t="s">
        <v>43</v>
      </c>
      <c r="B14" s="38">
        <v>-151785</v>
      </c>
      <c r="C14" s="38">
        <v>-137557</v>
      </c>
      <c r="D14" s="38">
        <v>-127417</v>
      </c>
      <c r="E14" s="38">
        <v>-149374</v>
      </c>
    </row>
    <row r="15" spans="1:5">
      <c r="A15" s="24" t="s">
        <v>73</v>
      </c>
      <c r="B15" s="39">
        <v>-237218</v>
      </c>
      <c r="C15" s="39">
        <v>-206159</v>
      </c>
      <c r="D15" s="39">
        <v>-119081</v>
      </c>
      <c r="E15" s="39">
        <v>-138327</v>
      </c>
    </row>
    <row r="16" spans="1:5">
      <c r="A16" s="18" t="s">
        <v>12</v>
      </c>
      <c r="B16" s="54">
        <f>B13+B15+B14</f>
        <v>2171864</v>
      </c>
      <c r="C16" s="54">
        <f>C13+C15+C14</f>
        <v>1917071</v>
      </c>
      <c r="D16" s="54">
        <f>D13+D15+D14</f>
        <v>1797224</v>
      </c>
      <c r="E16" s="54">
        <f>E13+E15+E14</f>
        <v>1494997</v>
      </c>
    </row>
    <row r="17" spans="1:8">
      <c r="A17" t="s">
        <v>4</v>
      </c>
      <c r="B17" s="6">
        <v>310077</v>
      </c>
      <c r="C17" s="6">
        <v>272254</v>
      </c>
      <c r="D17" s="6">
        <v>314405</v>
      </c>
      <c r="E17" s="6">
        <v>219584</v>
      </c>
    </row>
    <row r="18" spans="1:8">
      <c r="A18" s="44" t="s">
        <v>13</v>
      </c>
      <c r="B18" s="11">
        <f>B16-B17</f>
        <v>1861787</v>
      </c>
      <c r="C18" s="11">
        <f>C16-C17</f>
        <v>1644817</v>
      </c>
      <c r="D18" s="11">
        <f>D16-D17</f>
        <v>1482819</v>
      </c>
      <c r="E18" s="11">
        <f>E16-E17</f>
        <v>1275413</v>
      </c>
    </row>
    <row r="19" spans="1:8" ht="25.5" customHeight="1">
      <c r="A19" s="45" t="s">
        <v>84</v>
      </c>
      <c r="B19" s="45"/>
      <c r="C19" s="59">
        <v>0</v>
      </c>
      <c r="D19" s="59">
        <v>5307</v>
      </c>
      <c r="E19" s="59">
        <v>-3295</v>
      </c>
    </row>
    <row r="20" spans="1:8">
      <c r="A20" s="44" t="s">
        <v>85</v>
      </c>
      <c r="B20" s="43">
        <f>B18-B19</f>
        <v>1861787</v>
      </c>
      <c r="C20" s="43">
        <f>C18-C19</f>
        <v>1644817</v>
      </c>
      <c r="D20" s="43">
        <f>D18-D19</f>
        <v>1477512</v>
      </c>
      <c r="E20" s="43">
        <f>E18-E19</f>
        <v>1278708</v>
      </c>
    </row>
    <row r="21" spans="1:8">
      <c r="A21" s="1"/>
      <c r="B21" s="1"/>
      <c r="C21" s="1"/>
      <c r="D21" s="1"/>
      <c r="E21" s="1"/>
    </row>
    <row r="22" spans="1:8">
      <c r="A22" s="18" t="s">
        <v>32</v>
      </c>
      <c r="B22" s="18">
        <v>2023</v>
      </c>
      <c r="C22" s="17">
        <v>2022</v>
      </c>
      <c r="D22" s="17">
        <v>2021</v>
      </c>
      <c r="E22" s="52">
        <f>E4</f>
        <v>2020</v>
      </c>
      <c r="G22" s="97"/>
      <c r="H22" s="97"/>
    </row>
    <row r="23" spans="1:8">
      <c r="G23" s="1"/>
      <c r="H23" s="1"/>
    </row>
    <row r="24" spans="1:8">
      <c r="A24" s="1" t="s">
        <v>7</v>
      </c>
      <c r="B24" s="1"/>
      <c r="C24" s="1"/>
      <c r="D24" s="1"/>
    </row>
    <row r="25" spans="1:8">
      <c r="A25" s="63" t="s">
        <v>19</v>
      </c>
      <c r="B25" s="60">
        <v>401902</v>
      </c>
      <c r="C25" s="60">
        <v>463889</v>
      </c>
      <c r="D25" s="60">
        <v>329266</v>
      </c>
      <c r="E25" s="60">
        <v>1143987</v>
      </c>
      <c r="F25" s="57"/>
    </row>
    <row r="26" spans="1:8">
      <c r="A26" s="57" t="s">
        <v>55</v>
      </c>
      <c r="B26" s="61">
        <v>0</v>
      </c>
      <c r="C26" s="61">
        <v>0</v>
      </c>
      <c r="D26" s="61">
        <v>0</v>
      </c>
      <c r="E26" s="61">
        <v>0</v>
      </c>
      <c r="F26" s="57"/>
      <c r="G26" s="33"/>
      <c r="H26" s="33"/>
    </row>
    <row r="27" spans="1:8">
      <c r="A27" s="57" t="s">
        <v>2</v>
      </c>
      <c r="B27" s="61">
        <v>823617</v>
      </c>
      <c r="C27" s="61">
        <v>711203</v>
      </c>
      <c r="D27" s="61">
        <v>671464</v>
      </c>
      <c r="E27" s="61">
        <v>615233</v>
      </c>
      <c r="F27" s="57"/>
      <c r="G27" s="33"/>
      <c r="H27" s="33"/>
    </row>
    <row r="28" spans="1:8">
      <c r="A28" s="57" t="s">
        <v>5</v>
      </c>
      <c r="B28" s="61">
        <v>1340996</v>
      </c>
      <c r="C28" s="61">
        <v>1173119</v>
      </c>
      <c r="D28" s="61">
        <v>988511</v>
      </c>
      <c r="E28" s="61">
        <v>964207</v>
      </c>
      <c r="F28" s="57"/>
      <c r="G28" s="33"/>
      <c r="H28" s="33"/>
    </row>
    <row r="29" spans="1:8">
      <c r="A29" s="23" t="s">
        <v>90</v>
      </c>
      <c r="B29" s="8">
        <v>345588</v>
      </c>
      <c r="C29" s="8">
        <v>272195</v>
      </c>
      <c r="D29" s="8">
        <v>256965</v>
      </c>
      <c r="E29" s="8">
        <v>254478</v>
      </c>
      <c r="F29" s="57"/>
    </row>
    <row r="30" spans="1:8" ht="16.149999999999999" customHeight="1">
      <c r="A30" s="18" t="s">
        <v>49</v>
      </c>
      <c r="B30" s="60">
        <f>SUM(B25:B29)</f>
        <v>2912103</v>
      </c>
      <c r="C30" s="60">
        <f>SUM(C25:C29)</f>
        <v>2620406</v>
      </c>
      <c r="D30" s="60">
        <f>SUM(D25:D29)</f>
        <v>2246206</v>
      </c>
      <c r="E30" s="60">
        <f>SUM(E25:E29)</f>
        <v>2977905</v>
      </c>
      <c r="F30" s="57"/>
    </row>
    <row r="31" spans="1:8">
      <c r="A31" s="23" t="s">
        <v>58</v>
      </c>
      <c r="B31" s="8"/>
      <c r="C31" s="8"/>
      <c r="D31" s="8"/>
      <c r="E31" s="8"/>
      <c r="F31" s="57"/>
    </row>
    <row r="32" spans="1:8">
      <c r="A32" s="24" t="s">
        <v>74</v>
      </c>
      <c r="B32" s="34">
        <v>3309678</v>
      </c>
      <c r="C32" s="34">
        <v>2769702</v>
      </c>
      <c r="D32" s="34">
        <v>2586187</v>
      </c>
      <c r="E32" s="34">
        <v>2285255</v>
      </c>
      <c r="F32" s="57"/>
    </row>
    <row r="33" spans="1:8">
      <c r="A33" s="64" t="s">
        <v>20</v>
      </c>
      <c r="B33" s="61">
        <v>2696050</v>
      </c>
      <c r="C33" s="61">
        <v>2606956</v>
      </c>
      <c r="D33" s="61">
        <v>2633174</v>
      </c>
      <c r="E33" s="61">
        <v>1988215</v>
      </c>
      <c r="F33" s="57"/>
    </row>
    <row r="34" spans="1:8">
      <c r="A34" s="64" t="s">
        <v>38</v>
      </c>
      <c r="B34" s="61">
        <v>1879229</v>
      </c>
      <c r="C34" s="61">
        <v>1966269</v>
      </c>
      <c r="D34" s="61">
        <v>2037588</v>
      </c>
      <c r="E34" s="61">
        <v>1295214</v>
      </c>
      <c r="F34" s="57"/>
    </row>
    <row r="35" spans="1:8">
      <c r="A35" s="57" t="s">
        <v>22</v>
      </c>
      <c r="B35" s="61">
        <f>1061427+44454</f>
        <v>1105881</v>
      </c>
      <c r="C35" s="61">
        <f>40498+944989</f>
        <v>985487</v>
      </c>
      <c r="D35" s="61">
        <f>868203+40873</f>
        <v>909076</v>
      </c>
      <c r="E35" s="61">
        <f>555887+29369</f>
        <v>585256</v>
      </c>
      <c r="F35" s="57"/>
    </row>
    <row r="36" spans="1:8">
      <c r="A36" s="1" t="s">
        <v>44</v>
      </c>
      <c r="B36" s="10">
        <f>B30+SUM(B32:B35)</f>
        <v>11902941</v>
      </c>
      <c r="C36" s="10">
        <f>C30+SUM(C32:C35)</f>
        <v>10948820</v>
      </c>
      <c r="D36" s="10">
        <f>D30+SUM(D32:D35)</f>
        <v>10412231</v>
      </c>
      <c r="E36" s="10">
        <f>E30+SUM(E32:E35)</f>
        <v>9131845</v>
      </c>
      <c r="F36" s="57"/>
    </row>
    <row r="37" spans="1:8">
      <c r="A37" s="1"/>
      <c r="B37" s="10"/>
      <c r="C37" s="10"/>
      <c r="D37" s="10"/>
      <c r="E37" s="10"/>
    </row>
    <row r="38" spans="1:8">
      <c r="A38" s="1" t="s">
        <v>48</v>
      </c>
    </row>
    <row r="39" spans="1:8">
      <c r="A39" s="57" t="s">
        <v>1</v>
      </c>
      <c r="B39" s="60">
        <v>1086183</v>
      </c>
      <c r="C39" s="60">
        <v>970558</v>
      </c>
      <c r="D39" s="60">
        <v>692338</v>
      </c>
      <c r="E39" s="60">
        <v>580058</v>
      </c>
      <c r="F39" s="57"/>
    </row>
    <row r="40" spans="1:8">
      <c r="A40" s="57" t="s">
        <v>24</v>
      </c>
      <c r="B40" s="16">
        <v>867815</v>
      </c>
      <c r="C40" s="16">
        <v>832518</v>
      </c>
      <c r="D40" s="16">
        <v>855638</v>
      </c>
      <c r="E40" s="16">
        <v>781766</v>
      </c>
      <c r="F40" s="57"/>
    </row>
    <row r="41" spans="1:8">
      <c r="A41" s="24" t="s">
        <v>75</v>
      </c>
      <c r="B41" s="61">
        <v>719839</v>
      </c>
      <c r="C41" s="61">
        <v>693790</v>
      </c>
      <c r="D41" s="61">
        <v>939423</v>
      </c>
      <c r="E41" s="61">
        <v>74041</v>
      </c>
      <c r="F41" s="57"/>
    </row>
    <row r="42" spans="1:8">
      <c r="A42" s="24" t="s">
        <v>76</v>
      </c>
      <c r="B42" s="61">
        <v>305058</v>
      </c>
      <c r="C42" s="61">
        <v>753578</v>
      </c>
      <c r="D42" s="61">
        <v>2844</v>
      </c>
      <c r="E42" s="61">
        <v>438829</v>
      </c>
      <c r="F42" s="57"/>
    </row>
    <row r="43" spans="1:8">
      <c r="A43" s="57" t="s">
        <v>39</v>
      </c>
      <c r="B43" s="16">
        <v>29457</v>
      </c>
      <c r="C43" s="16">
        <v>6710</v>
      </c>
      <c r="D43" s="16">
        <v>3070</v>
      </c>
      <c r="E43" s="16">
        <v>17051</v>
      </c>
      <c r="F43" s="57"/>
    </row>
    <row r="44" spans="1:8">
      <c r="A44" s="18" t="s">
        <v>50</v>
      </c>
      <c r="B44" s="62">
        <f>SUM(B39:B43)</f>
        <v>3008352</v>
      </c>
      <c r="C44" s="62">
        <f>SUM(C39:C43)</f>
        <v>3257154</v>
      </c>
      <c r="D44" s="62">
        <f>SUM(D39:D43)</f>
        <v>2493313</v>
      </c>
      <c r="E44" s="62">
        <f>SUM(E39:E43)</f>
        <v>1891745</v>
      </c>
      <c r="F44" s="57"/>
    </row>
    <row r="45" spans="1:8" ht="16.899999999999999" customHeight="1">
      <c r="A45" s="64" t="s">
        <v>40</v>
      </c>
      <c r="B45" s="61">
        <v>3789132</v>
      </c>
      <c r="C45" s="61">
        <v>3343977</v>
      </c>
      <c r="D45" s="61">
        <v>4086627</v>
      </c>
      <c r="E45" s="61">
        <v>4089755</v>
      </c>
      <c r="F45" s="57"/>
    </row>
    <row r="46" spans="1:8" ht="16.899999999999999" customHeight="1">
      <c r="A46" s="64" t="s">
        <v>25</v>
      </c>
      <c r="B46" s="16">
        <v>660673</v>
      </c>
      <c r="C46" s="16">
        <v>719742</v>
      </c>
      <c r="D46" s="16">
        <v>787058</v>
      </c>
      <c r="E46" s="16">
        <v>683434</v>
      </c>
      <c r="F46" s="57"/>
    </row>
    <row r="47" spans="1:8">
      <c r="A47" s="64" t="s">
        <v>59</v>
      </c>
      <c r="B47" s="8">
        <v>345698</v>
      </c>
      <c r="C47" s="8">
        <v>328403</v>
      </c>
      <c r="D47" s="8">
        <v>288004</v>
      </c>
      <c r="E47" s="8">
        <v>229028</v>
      </c>
      <c r="F47" s="57"/>
      <c r="H47" s="23" t="s">
        <v>58</v>
      </c>
    </row>
    <row r="48" spans="1:8">
      <c r="A48" s="18" t="s">
        <v>45</v>
      </c>
      <c r="B48" s="60">
        <f>SUM(B44:B47)</f>
        <v>7803855</v>
      </c>
      <c r="C48" s="60">
        <f>SUM(C44:C47)</f>
        <v>7649276</v>
      </c>
      <c r="D48" s="60">
        <f>SUM(D44:D47)</f>
        <v>7655002</v>
      </c>
      <c r="E48" s="60">
        <f>SUM(E44:E47)</f>
        <v>6893962</v>
      </c>
      <c r="F48" s="57"/>
    </row>
    <row r="49" spans="1:12">
      <c r="A49" s="18"/>
      <c r="B49" s="18"/>
      <c r="C49" s="5"/>
      <c r="D49" s="5"/>
      <c r="E49" s="5"/>
    </row>
    <row r="50" spans="1:12">
      <c r="A50" s="21" t="s">
        <v>51</v>
      </c>
      <c r="B50" s="21"/>
      <c r="C50" s="5"/>
      <c r="D50" s="5"/>
      <c r="E50" s="5"/>
    </row>
    <row r="51" spans="1:12">
      <c r="A51" s="64" t="s">
        <v>26</v>
      </c>
      <c r="B51" s="16">
        <v>166939</v>
      </c>
      <c r="C51" s="16">
        <v>163439</v>
      </c>
      <c r="D51" s="16">
        <v>160939</v>
      </c>
      <c r="E51" s="16">
        <v>160939</v>
      </c>
      <c r="F51" s="57"/>
    </row>
    <row r="52" spans="1:12">
      <c r="A52" s="36" t="s">
        <v>77</v>
      </c>
      <c r="B52" s="16">
        <v>54614</v>
      </c>
      <c r="C52" s="16">
        <v>58114</v>
      </c>
      <c r="D52" s="16">
        <v>60614</v>
      </c>
      <c r="E52" s="16">
        <v>60614</v>
      </c>
      <c r="F52" s="57"/>
    </row>
    <row r="53" spans="1:12">
      <c r="A53" s="64" t="s">
        <v>41</v>
      </c>
      <c r="B53" s="61">
        <v>1345580</v>
      </c>
      <c r="C53" s="61">
        <v>1296572</v>
      </c>
      <c r="D53" s="61">
        <v>1260331</v>
      </c>
      <c r="E53" s="61">
        <v>1191200</v>
      </c>
      <c r="F53" s="57"/>
    </row>
    <row r="54" spans="1:12">
      <c r="A54" s="64" t="s">
        <v>3</v>
      </c>
      <c r="B54" s="61">
        <v>4562263</v>
      </c>
      <c r="C54" s="61">
        <v>3589781</v>
      </c>
      <c r="D54" s="61">
        <v>2719936</v>
      </c>
      <c r="E54" s="61">
        <v>1928673</v>
      </c>
      <c r="F54" s="57"/>
      <c r="G54" s="99" t="s">
        <v>58</v>
      </c>
      <c r="H54" s="97"/>
      <c r="I54" s="97"/>
      <c r="J54" s="97"/>
    </row>
    <row r="55" spans="1:12">
      <c r="A55" s="36" t="s">
        <v>78</v>
      </c>
      <c r="B55" s="16">
        <v>-1800232</v>
      </c>
      <c r="C55" s="16">
        <v>-1556029</v>
      </c>
      <c r="D55" s="16">
        <v>-1195376</v>
      </c>
      <c r="E55" s="16">
        <v>-768992</v>
      </c>
      <c r="F55" s="57"/>
    </row>
    <row r="56" spans="1:12" ht="12.75" customHeight="1">
      <c r="A56" s="47" t="s">
        <v>92</v>
      </c>
      <c r="B56" s="16">
        <v>-230078</v>
      </c>
      <c r="C56" s="16">
        <v>-252333</v>
      </c>
      <c r="D56" s="16">
        <v>-249215</v>
      </c>
      <c r="E56" s="16">
        <v>-338082</v>
      </c>
      <c r="F56" s="57"/>
      <c r="G56" s="98" t="s">
        <v>91</v>
      </c>
      <c r="H56" s="98"/>
      <c r="I56" s="98"/>
      <c r="J56" s="98"/>
      <c r="K56" s="98"/>
      <c r="L56" s="98"/>
    </row>
    <row r="57" spans="1:12">
      <c r="A57" s="36" t="s">
        <v>94</v>
      </c>
      <c r="B57" s="61">
        <v>0</v>
      </c>
      <c r="C57" s="61">
        <v>0</v>
      </c>
      <c r="D57" s="61">
        <v>0</v>
      </c>
      <c r="E57" s="61">
        <v>3531</v>
      </c>
      <c r="F57" s="57"/>
      <c r="G57" s="42"/>
      <c r="H57" s="42"/>
      <c r="I57" s="42"/>
      <c r="J57" s="42"/>
    </row>
    <row r="58" spans="1:12">
      <c r="A58" s="18" t="s">
        <v>47</v>
      </c>
      <c r="B58" s="9">
        <f>SUM(B51:B57)</f>
        <v>4099086</v>
      </c>
      <c r="C58" s="9">
        <f>SUM(C51:C57)</f>
        <v>3299544</v>
      </c>
      <c r="D58" s="9">
        <f>SUM(D51:D57)</f>
        <v>2757229</v>
      </c>
      <c r="E58" s="9">
        <f>SUM(E51:E57)</f>
        <v>2237883</v>
      </c>
      <c r="F58" s="57"/>
    </row>
    <row r="59" spans="1:12">
      <c r="A59" s="18" t="s">
        <v>46</v>
      </c>
      <c r="B59" s="10">
        <f>B48+B58</f>
        <v>11902941</v>
      </c>
      <c r="C59" s="10">
        <f>C48+C58</f>
        <v>10948820</v>
      </c>
      <c r="D59" s="10">
        <f>D48+D58</f>
        <v>10412231</v>
      </c>
      <c r="E59" s="10">
        <f>E48+E58</f>
        <v>9131845</v>
      </c>
      <c r="F59" s="57"/>
    </row>
    <row r="60" spans="1:12">
      <c r="A60" s="12"/>
      <c r="B60" s="12"/>
      <c r="C60" s="12"/>
      <c r="D60" s="12"/>
      <c r="E60" s="12"/>
    </row>
    <row r="61" spans="1:12">
      <c r="A61" s="100" t="s">
        <v>93</v>
      </c>
      <c r="B61" s="100"/>
      <c r="C61" s="100"/>
      <c r="D61" s="100"/>
      <c r="E61" s="100"/>
      <c r="F61" s="100"/>
    </row>
    <row r="63" spans="1:12">
      <c r="A63" s="19"/>
      <c r="B63" s="19"/>
      <c r="C63" s="1"/>
      <c r="D63" s="1"/>
      <c r="E63" s="1"/>
    </row>
    <row r="64" spans="1:12">
      <c r="A64" s="13"/>
      <c r="B64" s="13"/>
      <c r="C64" s="14"/>
      <c r="D64" s="14"/>
      <c r="E64" s="14"/>
    </row>
    <row r="65" spans="1:5">
      <c r="A65" s="2"/>
      <c r="B65" s="2"/>
      <c r="C65" s="15"/>
      <c r="D65" s="15"/>
      <c r="E65" s="15"/>
    </row>
    <row r="66" spans="1:5">
      <c r="C66" s="14"/>
      <c r="D66" s="14"/>
      <c r="E66" s="14"/>
    </row>
    <row r="67" spans="1:5">
      <c r="A67" s="12"/>
      <c r="B67" s="12"/>
      <c r="C67" s="12"/>
      <c r="D67" s="12"/>
      <c r="E67" s="12"/>
    </row>
    <row r="68" spans="1:5">
      <c r="A68" s="12"/>
      <c r="B68" s="12"/>
      <c r="C68" s="12"/>
      <c r="D68" s="12"/>
      <c r="E68" s="12"/>
    </row>
    <row r="69" spans="1:5">
      <c r="A69" s="12"/>
      <c r="B69" s="12"/>
      <c r="C69" s="12"/>
      <c r="D69" s="12"/>
      <c r="E69" s="12"/>
    </row>
    <row r="70" spans="1:5">
      <c r="A70" s="12"/>
      <c r="B70" s="12"/>
      <c r="C70" s="12"/>
      <c r="D70" s="12"/>
      <c r="E70" s="12"/>
    </row>
    <row r="71" spans="1:5">
      <c r="A71" s="12"/>
      <c r="B71" s="12"/>
      <c r="C71" s="12"/>
      <c r="D71" s="12"/>
      <c r="E71" s="12"/>
    </row>
    <row r="72" spans="1:5">
      <c r="A72" s="12"/>
      <c r="B72" s="12"/>
      <c r="C72" s="12"/>
      <c r="D72" s="12"/>
      <c r="E72" s="12"/>
    </row>
    <row r="73" spans="1:5">
      <c r="A73" s="12"/>
      <c r="B73" s="12"/>
      <c r="C73" s="12"/>
      <c r="D73" s="12"/>
      <c r="E73" s="12"/>
    </row>
    <row r="74" spans="1:5">
      <c r="A74" s="12"/>
      <c r="B74" s="12"/>
      <c r="C74" s="12"/>
      <c r="D74" s="12"/>
      <c r="E74" s="12"/>
    </row>
    <row r="75" spans="1:5">
      <c r="A75" s="12"/>
      <c r="B75" s="12"/>
      <c r="C75" s="12"/>
      <c r="D75" s="12"/>
      <c r="E75" s="12"/>
    </row>
    <row r="76" spans="1:5">
      <c r="A76" s="12"/>
      <c r="B76" s="12"/>
      <c r="C76" s="12"/>
      <c r="D76" s="12"/>
      <c r="E76" s="12"/>
    </row>
  </sheetData>
  <mergeCells count="5">
    <mergeCell ref="A1:E1"/>
    <mergeCell ref="G22:H22"/>
    <mergeCell ref="G54:J54"/>
    <mergeCell ref="G56:L56"/>
    <mergeCell ref="A61:F61"/>
  </mergeCells>
  <phoneticPr fontId="3"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Ratios</vt:lpstr>
      <vt:lpstr>Sheet1</vt:lpstr>
      <vt:lpstr>FS, TR</vt:lpstr>
      <vt:lpstr>FS, HSY</vt:lpstr>
      <vt:lpstr>Ratios!Print_Area</vt:lpstr>
    </vt:vector>
  </TitlesOfParts>
  <Company>at 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Andrew</dc:creator>
  <cp:lastModifiedBy>Rupa Shrestha</cp:lastModifiedBy>
  <cp:lastPrinted>2023-06-27T01:51:00Z</cp:lastPrinted>
  <dcterms:created xsi:type="dcterms:W3CDTF">2000-04-02T20:52:09Z</dcterms:created>
  <dcterms:modified xsi:type="dcterms:W3CDTF">2024-09-29T20:30:46Z</dcterms:modified>
</cp:coreProperties>
</file>