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D:\Webster University\Assignments\Finances\Homework Assignment\"/>
    </mc:Choice>
  </mc:AlternateContent>
  <xr:revisionPtr revIDLastSave="0" documentId="13_ncr:1_{832B84E9-B39F-4EFE-AEC7-CC0E18F72A4C}" xr6:coauthVersionLast="47" xr6:coauthVersionMax="47" xr10:uidLastSave="{00000000-0000-0000-0000-000000000000}"/>
  <bookViews>
    <workbookView xWindow="-120" yWindow="-120" windowWidth="20730" windowHeight="11040" activeTab="4" xr2:uid="{00000000-000D-0000-FFFF-FFFF00000000}"/>
  </bookViews>
  <sheets>
    <sheet name="Sheet1" sheetId="1" r:id="rId1"/>
    <sheet name="FS, TR (2)" sheetId="5" r:id="rId2"/>
    <sheet name="Sheet4" sheetId="8" r:id="rId3"/>
    <sheet name="Sheet2" sheetId="6" r:id="rId4"/>
    <sheet name="Sheet3" sheetId="7" r:id="rId5"/>
  </sheets>
  <externalReferences>
    <externalReference r:id="rId6"/>
  </externalReferences>
  <definedNames>
    <definedName name="_xlnm.Print_Area" localSheetId="0">Sheet1!$A$1:$N$122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6" l="1"/>
  <c r="E7" i="6"/>
  <c r="E11" i="6" s="1"/>
  <c r="D8" i="6"/>
  <c r="E8" i="6"/>
  <c r="D9" i="6"/>
  <c r="E9" i="6"/>
  <c r="D11" i="6"/>
  <c r="E35" i="6"/>
  <c r="E36" i="6"/>
  <c r="E37" i="6"/>
  <c r="E38" i="6"/>
  <c r="D39" i="6"/>
  <c r="E39" i="6"/>
  <c r="D43" i="6"/>
  <c r="D45" i="6"/>
  <c r="D70" i="6"/>
  <c r="D72" i="6"/>
  <c r="C74" i="6"/>
  <c r="D71" i="6" s="1"/>
  <c r="D74" i="6"/>
  <c r="D93" i="6"/>
  <c r="D94" i="6"/>
  <c r="C98" i="6"/>
  <c r="D95" i="6" s="1"/>
  <c r="D98" i="6"/>
  <c r="B101" i="6"/>
  <c r="E40" i="1"/>
  <c r="C49" i="5"/>
  <c r="C50" i="5" s="1"/>
  <c r="B49" i="5"/>
  <c r="B50" i="5" s="1"/>
  <c r="C42" i="5"/>
  <c r="B42" i="5"/>
  <c r="C39" i="5"/>
  <c r="C40" i="5" s="1"/>
  <c r="C43" i="5" s="1"/>
  <c r="C51" i="5" s="1"/>
  <c r="B39" i="5"/>
  <c r="B40" i="5" s="1"/>
  <c r="B43" i="5" s="1"/>
  <c r="B51" i="5" s="1"/>
  <c r="C33" i="5"/>
  <c r="B33" i="5"/>
  <c r="C30" i="5"/>
  <c r="B30" i="5"/>
  <c r="C24" i="5"/>
  <c r="B24" i="5"/>
  <c r="C21" i="5"/>
  <c r="C26" i="5" s="1"/>
  <c r="C34" i="5" s="1"/>
  <c r="B21" i="5"/>
  <c r="C18" i="5"/>
  <c r="B18" i="5"/>
  <c r="C15" i="5"/>
  <c r="B15" i="5"/>
  <c r="C13" i="5"/>
  <c r="B13" i="5"/>
  <c r="C8" i="5"/>
  <c r="B8" i="5"/>
  <c r="D102" i="1"/>
  <c r="E102" i="1" s="1"/>
  <c r="D73" i="1"/>
  <c r="E69" i="1" s="1"/>
  <c r="D50" i="1" s="1"/>
  <c r="D72" i="1"/>
  <c r="D49" i="1"/>
  <c r="D48" i="1"/>
  <c r="D44" i="1"/>
  <c r="E43" i="1" s="1"/>
  <c r="D73" i="6" l="1"/>
  <c r="D97" i="6"/>
  <c r="D96" i="6"/>
  <c r="B26" i="5"/>
  <c r="B34" i="5" s="1"/>
  <c r="E97" i="1"/>
  <c r="E100" i="1"/>
  <c r="E72" i="1"/>
  <c r="E101" i="1"/>
  <c r="E70" i="1"/>
  <c r="E41" i="1"/>
  <c r="E73" i="1"/>
  <c r="E44" i="1"/>
  <c r="E71" i="1"/>
  <c r="E42" i="1"/>
  <c r="E98" i="1"/>
  <c r="E99" i="1"/>
  <c r="E19" i="1"/>
  <c r="D19" i="1" s="1"/>
  <c r="E17" i="1"/>
  <c r="D17" i="1"/>
  <c r="E16" i="1"/>
  <c r="D16" i="1"/>
  <c r="E15" i="1"/>
  <c r="D15" i="1"/>
</calcChain>
</file>

<file path=xl/sharedStrings.xml><?xml version="1.0" encoding="utf-8"?>
<sst xmlns="http://schemas.openxmlformats.org/spreadsheetml/2006/main" count="181" uniqueCount="110">
  <si>
    <t>Year</t>
  </si>
  <si>
    <t>Sales</t>
  </si>
  <si>
    <t>Avg:</t>
  </si>
  <si>
    <t>Net Income</t>
  </si>
  <si>
    <t>Net Income Growth</t>
  </si>
  <si>
    <t>Sales Growth</t>
  </si>
  <si>
    <t>Total</t>
  </si>
  <si>
    <t>Cost of Goods Sold</t>
  </si>
  <si>
    <t>Interest Expense</t>
  </si>
  <si>
    <t>Income Tax</t>
  </si>
  <si>
    <t>Accounts Receivable</t>
  </si>
  <si>
    <t>Inventory</t>
  </si>
  <si>
    <t>Long-Term Debt</t>
  </si>
  <si>
    <t>Owner's Equity</t>
  </si>
  <si>
    <t>Accounts Payable</t>
  </si>
  <si>
    <t>Short-Term Debt</t>
  </si>
  <si>
    <t>Other Current Liabilities</t>
  </si>
  <si>
    <t>S, G &amp; A Expenses</t>
  </si>
  <si>
    <t>Cash</t>
  </si>
  <si>
    <t>Net Plant, and Equipment</t>
  </si>
  <si>
    <t>Week 3</t>
  </si>
  <si>
    <t>income tax</t>
  </si>
  <si>
    <t>before-tax income</t>
  </si>
  <si>
    <t>rate</t>
  </si>
  <si>
    <t>Tax rate:</t>
  </si>
  <si>
    <t>Treasury stock and other</t>
  </si>
  <si>
    <t>Retained earnings</t>
  </si>
  <si>
    <t>Capital in excess of par</t>
  </si>
  <si>
    <t>Common stock</t>
  </si>
  <si>
    <t>Other liabilities</t>
  </si>
  <si>
    <t>Deferred taxes</t>
  </si>
  <si>
    <t>Current liabilities</t>
  </si>
  <si>
    <t>Accrued Liabilities</t>
  </si>
  <si>
    <t>Dividends payable</t>
  </si>
  <si>
    <t>Accounts payable</t>
  </si>
  <si>
    <t>LIABILITIES AND EQUITIES</t>
  </si>
  <si>
    <t>Other Assets</t>
  </si>
  <si>
    <t>Trademarks</t>
  </si>
  <si>
    <t>Goodwill</t>
  </si>
  <si>
    <t>Net Prop &amp; Equip</t>
  </si>
  <si>
    <t>Less Accum Depreciation</t>
  </si>
  <si>
    <t>Gross Prop &amp; Equip</t>
  </si>
  <si>
    <t>Current assets</t>
  </si>
  <si>
    <t>Deferred Taxes</t>
  </si>
  <si>
    <t>Accounts receivable</t>
  </si>
  <si>
    <t>Cash &amp; investments</t>
  </si>
  <si>
    <t xml:space="preserve">ASSETS </t>
  </si>
  <si>
    <t>BALANCE SHEET, as of Dec 31</t>
  </si>
  <si>
    <t>Net income</t>
  </si>
  <si>
    <t>Taxes</t>
  </si>
  <si>
    <t>Before-tax earnings</t>
  </si>
  <si>
    <t>EBIT</t>
  </si>
  <si>
    <t>SG &amp; A expenses</t>
  </si>
  <si>
    <t>Gross profit</t>
  </si>
  <si>
    <t>COGS &amp; Royalty cost</t>
  </si>
  <si>
    <t>Total revenue</t>
  </si>
  <si>
    <t>INCOME STATEMENT</t>
  </si>
  <si>
    <t>Financial Statements, Tootsie Roll ($000s)</t>
  </si>
  <si>
    <t>Total Liabilities &amp; Equity</t>
  </si>
  <si>
    <t>Total Equity</t>
  </si>
  <si>
    <t>Total Liabilities</t>
  </si>
  <si>
    <t>Total Assets</t>
  </si>
  <si>
    <t>Non Recurring</t>
  </si>
  <si>
    <t>Class B Common Stock</t>
  </si>
  <si>
    <t>Other Current Assets</t>
  </si>
  <si>
    <t xml:space="preserve">BUSN 5200 </t>
  </si>
  <si>
    <t xml:space="preserve"> </t>
  </si>
  <si>
    <t>I</t>
  </si>
  <si>
    <t>Short Term Debt</t>
  </si>
  <si>
    <t>Total liabilities - Long term debt</t>
  </si>
  <si>
    <t>Fiscal year is January-December. All values USD Thousands.</t>
  </si>
  <si>
    <t>Sales/Revenue</t>
  </si>
  <si>
    <t>-</t>
  </si>
  <si>
    <t>Cost of Goods Sold (COGS) incl. D&amp;A</t>
  </si>
  <si>
    <t>COGS excluding D&amp;A</t>
  </si>
  <si>
    <t>Depreciation &amp; Amortization Expense</t>
  </si>
  <si>
    <t>Depreciation</t>
  </si>
  <si>
    <t>COGS Growth</t>
  </si>
  <si>
    <t>Gross Income</t>
  </si>
  <si>
    <t>Gross Income Growth</t>
  </si>
  <si>
    <t>Gross Profit Margin</t>
  </si>
  <si>
    <t>SG&amp;A Expense</t>
  </si>
  <si>
    <t>Other SG&amp;A</t>
  </si>
  <si>
    <t>SGA Growth</t>
  </si>
  <si>
    <t>Unusual Expense</t>
  </si>
  <si>
    <t>Non Operating Income/Expense</t>
  </si>
  <si>
    <t>Non-Operating Interest Income</t>
  </si>
  <si>
    <t>Interest Expense Growth</t>
  </si>
  <si>
    <t>Gross Interest Expense</t>
  </si>
  <si>
    <t>Pretax Income</t>
  </si>
  <si>
    <t>Pretax Income Growth</t>
  </si>
  <si>
    <t>Pretax Margin</t>
  </si>
  <si>
    <t>Income Tax - Current Domestic</t>
  </si>
  <si>
    <t>Income Tax - Current Foreign</t>
  </si>
  <si>
    <t>Income Tax - Deferred Domestic</t>
  </si>
  <si>
    <t>Income Tax - Deferred Foreign</t>
  </si>
  <si>
    <t>Consolidated Net Income</t>
  </si>
  <si>
    <t>Minority Interest Expense</t>
  </si>
  <si>
    <t>Net Margin</t>
  </si>
  <si>
    <t>Net Income After Extraordinaries</t>
  </si>
  <si>
    <t>Net Income Available to Common</t>
  </si>
  <si>
    <t>EPS (Basic)</t>
  </si>
  <si>
    <t>EPS (Basic) Growth</t>
  </si>
  <si>
    <t>Basic Shares Outstanding</t>
  </si>
  <si>
    <t>EPS (Diluted)</t>
  </si>
  <si>
    <t>EPS (Diluted) Growth</t>
  </si>
  <si>
    <t>Diluted Shares Outstanding</t>
  </si>
  <si>
    <t>EBITDA</t>
  </si>
  <si>
    <t>EBITDA Growth</t>
  </si>
  <si>
    <t>EBITDA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</si>
</sst>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6" formatCode="&quot;$&quot;#,##0_);[Red]\(&quot;$&quot;#,##0\)"/>
    <numFmt numFmtId="7" formatCode="&quot;$&quot;#,##0.00_);\(&quot;$&quot;#,##0.00\)"/>
    <numFmt numFmtId="164" formatCode="0.0%"/>
  </numFmts>
  <fonts count="10">
    <font>
      <sz val="10"/>
      <name val="Arial"/>
    </font>
    <font>
      <sz val="10"/>
      <name val="Arial"/>
      <family val="2"/>
    </font>
    <font>
      <sz val="8"/>
      <name val="Arial"/>
      <family val="2"/>
    </font>
    <font>
      <b/>
      <sz val="12"/>
      <name val="Arial MT"/>
    </font>
    <font>
      <b/>
      <sz val="10"/>
      <name val="Arial"/>
      <family val="2"/>
    </font>
    <font>
      <sz val="10"/>
      <color indexed="8"/>
      <name val="Arial"/>
      <family val="2"/>
    </font>
    <font>
      <u/>
      <sz val="10"/>
      <name val="Arial"/>
      <family val="2"/>
    </font>
    <font>
      <b/>
      <u/>
      <sz val="10"/>
      <name val="Arial"/>
      <family val="2"/>
    </font>
    <font>
      <u val="double"/>
      <sz val="10"/>
      <name val="Arial"/>
      <family val="2"/>
    </font>
    <font>
      <u/>
      <sz val="10"/>
      <color rgb="FFFF0000"/>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3">
    <xf numFmtId="0" fontId="0" fillId="0" borderId="0"/>
    <xf numFmtId="9" fontId="1" fillId="0" borderId="0" applyFont="0" applyFill="0" applyBorder="0" applyAlignment="0" applyProtection="0"/>
    <xf numFmtId="0" fontId="1" fillId="0" borderId="0"/>
  </cellStyleXfs>
  <cellXfs count="48">
    <xf numFmtId="0" fontId="0" fillId="0" borderId="0" xfId="0"/>
    <xf numFmtId="0" fontId="0" fillId="0" borderId="0" xfId="0" quotePrefix="1" applyAlignment="1">
      <alignment horizontal="right"/>
    </xf>
    <xf numFmtId="0" fontId="0" fillId="0" borderId="0" xfId="0" quotePrefix="1" applyAlignment="1">
      <alignment horizontal="left"/>
    </xf>
    <xf numFmtId="5" fontId="0" fillId="0" borderId="0" xfId="0" applyNumberFormat="1"/>
    <xf numFmtId="164" fontId="0" fillId="0" borderId="0" xfId="1" applyNumberFormat="1" applyFont="1"/>
    <xf numFmtId="9" fontId="0" fillId="0" borderId="0" xfId="0" applyNumberFormat="1"/>
    <xf numFmtId="5" fontId="0" fillId="0" borderId="1" xfId="0" applyNumberFormat="1" applyBorder="1"/>
    <xf numFmtId="9" fontId="0" fillId="0" borderId="0" xfId="1" applyFont="1" applyAlignment="1">
      <alignment horizontal="center"/>
    </xf>
    <xf numFmtId="9" fontId="0" fillId="0" borderId="1" xfId="1" applyFont="1" applyBorder="1" applyAlignment="1">
      <alignment horizontal="center"/>
    </xf>
    <xf numFmtId="0" fontId="0" fillId="0" borderId="0" xfId="0" applyAlignment="1">
      <alignment horizontal="left"/>
    </xf>
    <xf numFmtId="0" fontId="4" fillId="0" borderId="0" xfId="0" applyFont="1"/>
    <xf numFmtId="0" fontId="4" fillId="0" borderId="0" xfId="0" quotePrefix="1" applyFont="1" applyAlignment="1">
      <alignment horizontal="left"/>
    </xf>
    <xf numFmtId="9" fontId="0" fillId="0" borderId="0" xfId="1" applyFont="1"/>
    <xf numFmtId="0" fontId="1" fillId="0" borderId="0" xfId="2"/>
    <xf numFmtId="0" fontId="5" fillId="0" borderId="0" xfId="2" applyFont="1"/>
    <xf numFmtId="7" fontId="1" fillId="0" borderId="0" xfId="2" applyNumberFormat="1"/>
    <xf numFmtId="7" fontId="6" fillId="0" borderId="0" xfId="2" applyNumberFormat="1" applyFont="1"/>
    <xf numFmtId="0" fontId="1" fillId="0" borderId="0" xfId="2" quotePrefix="1" applyAlignment="1">
      <alignment horizontal="left"/>
    </xf>
    <xf numFmtId="15" fontId="1" fillId="0" borderId="0" xfId="2" quotePrefix="1" applyNumberFormat="1" applyAlignment="1">
      <alignment horizontal="left"/>
    </xf>
    <xf numFmtId="0" fontId="4" fillId="0" borderId="0" xfId="2" applyFont="1"/>
    <xf numFmtId="0" fontId="7" fillId="0" borderId="0" xfId="2" quotePrefix="1" applyFont="1" applyAlignment="1">
      <alignment horizontal="left"/>
    </xf>
    <xf numFmtId="37" fontId="1" fillId="0" borderId="0" xfId="2" applyNumberFormat="1"/>
    <xf numFmtId="5" fontId="8" fillId="0" borderId="0" xfId="2" applyNumberFormat="1" applyFont="1"/>
    <xf numFmtId="0" fontId="4" fillId="0" borderId="0" xfId="2" quotePrefix="1" applyFont="1" applyAlignment="1">
      <alignment horizontal="left"/>
    </xf>
    <xf numFmtId="5" fontId="6" fillId="0" borderId="0" xfId="2" applyNumberFormat="1" applyFont="1"/>
    <xf numFmtId="0" fontId="1" fillId="0" borderId="0" xfId="2" applyAlignment="1">
      <alignment horizontal="left"/>
    </xf>
    <xf numFmtId="5" fontId="1" fillId="0" borderId="0" xfId="2" applyNumberFormat="1"/>
    <xf numFmtId="37" fontId="6" fillId="0" borderId="0" xfId="2" applyNumberFormat="1" applyFont="1"/>
    <xf numFmtId="37" fontId="9" fillId="0" borderId="0" xfId="2" applyNumberFormat="1" applyFont="1"/>
    <xf numFmtId="0" fontId="4" fillId="0" borderId="0" xfId="2" quotePrefix="1" applyFont="1" applyAlignment="1">
      <alignment horizontal="right"/>
    </xf>
    <xf numFmtId="5" fontId="8" fillId="0" borderId="0" xfId="2" applyNumberFormat="1" applyFont="1" applyAlignment="1">
      <alignment horizontal="right"/>
    </xf>
    <xf numFmtId="37" fontId="6" fillId="0" borderId="0" xfId="2" applyNumberFormat="1" applyFont="1" applyAlignment="1">
      <alignment horizontal="right"/>
    </xf>
    <xf numFmtId="5" fontId="1" fillId="0" borderId="0" xfId="2" applyNumberFormat="1" applyAlignment="1">
      <alignment horizontal="right"/>
    </xf>
    <xf numFmtId="5" fontId="6" fillId="0" borderId="0" xfId="2" applyNumberFormat="1" applyFont="1" applyAlignment="1">
      <alignment horizontal="right"/>
    </xf>
    <xf numFmtId="0" fontId="4" fillId="0" borderId="0" xfId="2" quotePrefix="1" applyFont="1" applyAlignment="1">
      <alignment horizontal="center"/>
    </xf>
    <xf numFmtId="5" fontId="1" fillId="0" borderId="2" xfId="2" applyNumberFormat="1" applyBorder="1"/>
    <xf numFmtId="0" fontId="4" fillId="0" borderId="0" xfId="0" quotePrefix="1" applyFont="1" applyAlignment="1">
      <alignment horizontal="right"/>
    </xf>
    <xf numFmtId="5" fontId="4" fillId="0" borderId="0" xfId="0" applyNumberFormat="1" applyFont="1"/>
    <xf numFmtId="0" fontId="0" fillId="0" borderId="0" xfId="0" quotePrefix="1" applyAlignment="1">
      <alignment horizontal="center"/>
    </xf>
    <xf numFmtId="0" fontId="0" fillId="0" borderId="0" xfId="0" applyAlignment="1">
      <alignment horizontal="center"/>
    </xf>
    <xf numFmtId="5" fontId="0" fillId="0" borderId="0" xfId="0" applyNumberFormat="1" applyAlignment="1">
      <alignment horizontal="center"/>
    </xf>
    <xf numFmtId="6" fontId="0" fillId="0" borderId="0" xfId="0" applyNumberFormat="1"/>
    <xf numFmtId="3" fontId="0" fillId="0" borderId="0" xfId="0" applyNumberFormat="1"/>
    <xf numFmtId="10" fontId="0" fillId="0" borderId="0" xfId="1" applyNumberFormat="1" applyFont="1" applyAlignment="1">
      <alignment horizontal="center"/>
    </xf>
    <xf numFmtId="0" fontId="3" fillId="0" borderId="0" xfId="0" quotePrefix="1" applyFont="1" applyAlignment="1">
      <alignment horizontal="center"/>
    </xf>
    <xf numFmtId="0" fontId="3" fillId="0" borderId="0" xfId="2" quotePrefix="1" applyFont="1" applyAlignment="1">
      <alignment horizontal="center"/>
    </xf>
    <xf numFmtId="4" fontId="0" fillId="0" borderId="0" xfId="0" applyNumberFormat="1"/>
    <xf numFmtId="10" fontId="0" fillId="0" borderId="0" xfId="0" applyNumberFormat="1"/>
  </cellXfs>
  <cellStyles count="3">
    <cellStyle name="Normal" xfId="0" builtinId="0"/>
    <cellStyle name="Normal 2" xfId="2" xr:uid="{00000000-0005-0000-0000-00000100000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Main Street Store</a:t>
            </a:r>
            <a:endParaRPr lang="en-US" sz="14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r>
              <a:rPr lang="en-US" sz="1000" b="1" i="0" u="none" strike="noStrike" baseline="0">
                <a:solidFill>
                  <a:srgbClr val="000000"/>
                </a:solidFill>
                <a:latin typeface="Arial"/>
                <a:cs typeface="Arial"/>
              </a:rPr>
              <a:t>Sales and Income Record</a:t>
            </a:r>
          </a:p>
        </c:rich>
      </c:tx>
      <c:layout>
        <c:manualLayout>
          <c:xMode val="edge"/>
          <c:yMode val="edge"/>
          <c:x val="0.35311168222549111"/>
          <c:y val="3.6036085573606297E-2"/>
        </c:manualLayout>
      </c:layout>
      <c:overlay val="0"/>
      <c:spPr>
        <a:noFill/>
        <a:ln w="25400">
          <a:noFill/>
        </a:ln>
      </c:spPr>
    </c:title>
    <c:autoTitleDeleted val="0"/>
    <c:plotArea>
      <c:layout>
        <c:manualLayout>
          <c:layoutTarget val="inner"/>
          <c:xMode val="edge"/>
          <c:yMode val="edge"/>
          <c:x val="0.15774251378105941"/>
          <c:y val="0.24324357762184159"/>
          <c:w val="0.79160692695632406"/>
          <c:h val="0.5698206031326476"/>
        </c:manualLayout>
      </c:layout>
      <c:scatterChart>
        <c:scatterStyle val="lineMarker"/>
        <c:varyColors val="0"/>
        <c:ser>
          <c:idx val="0"/>
          <c:order val="0"/>
          <c:tx>
            <c:strRef>
              <c:f>Sheet1!$B$12</c:f>
              <c:strCache>
                <c:ptCount val="1"/>
                <c:pt idx="0">
                  <c:v>Sales</c:v>
                </c:pt>
              </c:strCache>
            </c:strRef>
          </c:tx>
          <c:spPr>
            <a:ln w="25400">
              <a:solidFill>
                <a:srgbClr val="FF0000"/>
              </a:solidFill>
              <a:prstDash val="solid"/>
            </a:ln>
          </c:spPr>
          <c:marker>
            <c:symbol val="diamond"/>
            <c:size val="7"/>
            <c:spPr>
              <a:solidFill>
                <a:srgbClr val="000080"/>
              </a:solidFill>
              <a:ln>
                <a:solidFill>
                  <a:srgbClr val="000080"/>
                </a:solidFill>
                <a:prstDash val="solid"/>
              </a:ln>
            </c:spPr>
          </c:marker>
          <c:dLbls>
            <c:spPr>
              <a:noFill/>
              <a:ln w="25400">
                <a:noFill/>
              </a:ln>
            </c:spPr>
            <c:txPr>
              <a:bodyPr/>
              <a:lstStyle/>
              <a:p>
                <a:pPr>
                  <a:defRPr sz="9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Sheet1!$A$14:$A$17</c:f>
              <c:numCache>
                <c:formatCode>General</c:formatCode>
                <c:ptCount val="4"/>
                <c:pt idx="0">
                  <c:v>2008</c:v>
                </c:pt>
                <c:pt idx="1">
                  <c:v>2009</c:v>
                </c:pt>
                <c:pt idx="2">
                  <c:v>2010</c:v>
                </c:pt>
                <c:pt idx="3">
                  <c:v>2011</c:v>
                </c:pt>
              </c:numCache>
            </c:numRef>
          </c:xVal>
          <c:yVal>
            <c:numRef>
              <c:f>Sheet1!$B$14:$B$17</c:f>
              <c:numCache>
                <c:formatCode>"$"#,##0_);\("$"#,##0\)</c:formatCode>
                <c:ptCount val="4"/>
                <c:pt idx="0">
                  <c:v>1100000</c:v>
                </c:pt>
                <c:pt idx="1">
                  <c:v>900000</c:v>
                </c:pt>
                <c:pt idx="2">
                  <c:v>1100000</c:v>
                </c:pt>
                <c:pt idx="3">
                  <c:v>1200000</c:v>
                </c:pt>
              </c:numCache>
            </c:numRef>
          </c:yVal>
          <c:smooth val="0"/>
          <c:extLst>
            <c:ext xmlns:c16="http://schemas.microsoft.com/office/drawing/2014/chart" uri="{C3380CC4-5D6E-409C-BE32-E72D297353CC}">
              <c16:uniqueId val="{00000000-2D9B-4732-A9D9-831B917DC609}"/>
            </c:ext>
          </c:extLst>
        </c:ser>
        <c:ser>
          <c:idx val="1"/>
          <c:order val="1"/>
          <c:tx>
            <c:strRef>
              <c:f>Sheet1!$C$12</c:f>
              <c:strCache>
                <c:ptCount val="1"/>
                <c:pt idx="0">
                  <c:v>Net Income</c:v>
                </c:pt>
              </c:strCache>
            </c:strRef>
          </c:tx>
          <c:spPr>
            <a:ln w="25400">
              <a:solidFill>
                <a:srgbClr val="0000FF"/>
              </a:solidFill>
              <a:prstDash val="solid"/>
            </a:ln>
          </c:spPr>
          <c:marker>
            <c:symbol val="square"/>
            <c:size val="7"/>
            <c:spPr>
              <a:solidFill>
                <a:srgbClr val="000080"/>
              </a:solidFill>
              <a:ln>
                <a:solidFill>
                  <a:srgbClr val="000080"/>
                </a:solidFill>
                <a:prstDash val="solid"/>
              </a:ln>
            </c:spPr>
          </c:marker>
          <c:dLbls>
            <c:spPr>
              <a:noFill/>
              <a:ln w="25400">
                <a:noFill/>
              </a:ln>
            </c:spPr>
            <c:txPr>
              <a:bodyPr/>
              <a:lstStyle/>
              <a:p>
                <a:pPr>
                  <a:defRPr sz="9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Sheet1!$A$14:$A$17</c:f>
              <c:numCache>
                <c:formatCode>General</c:formatCode>
                <c:ptCount val="4"/>
                <c:pt idx="0">
                  <c:v>2008</c:v>
                </c:pt>
                <c:pt idx="1">
                  <c:v>2009</c:v>
                </c:pt>
                <c:pt idx="2">
                  <c:v>2010</c:v>
                </c:pt>
                <c:pt idx="3">
                  <c:v>2011</c:v>
                </c:pt>
              </c:numCache>
            </c:numRef>
          </c:xVal>
          <c:yVal>
            <c:numRef>
              <c:f>Sheet1!$C$14:$C$17</c:f>
              <c:numCache>
                <c:formatCode>"$"#,##0_);\("$"#,##0\)</c:formatCode>
                <c:ptCount val="4"/>
                <c:pt idx="0">
                  <c:v>15000</c:v>
                </c:pt>
                <c:pt idx="1">
                  <c:v>13000</c:v>
                </c:pt>
                <c:pt idx="2">
                  <c:v>16000</c:v>
                </c:pt>
                <c:pt idx="3">
                  <c:v>18000</c:v>
                </c:pt>
              </c:numCache>
            </c:numRef>
          </c:yVal>
          <c:smooth val="0"/>
          <c:extLst>
            <c:ext xmlns:c16="http://schemas.microsoft.com/office/drawing/2014/chart" uri="{C3380CC4-5D6E-409C-BE32-E72D297353CC}">
              <c16:uniqueId val="{00000001-2D9B-4732-A9D9-831B917DC609}"/>
            </c:ext>
          </c:extLst>
        </c:ser>
        <c:dLbls>
          <c:showLegendKey val="0"/>
          <c:showVal val="0"/>
          <c:showCatName val="0"/>
          <c:showSerName val="0"/>
          <c:showPercent val="0"/>
          <c:showBubbleSize val="0"/>
        </c:dLbls>
        <c:axId val="-227454032"/>
        <c:axId val="-227444784"/>
      </c:scatterChart>
      <c:valAx>
        <c:axId val="-2274540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227444784"/>
        <c:crosses val="autoZero"/>
        <c:crossBetween val="midCat"/>
        <c:majorUnit val="1"/>
        <c:minorUnit val="1"/>
      </c:valAx>
      <c:valAx>
        <c:axId val="-227444784"/>
        <c:scaling>
          <c:orientation val="minMax"/>
        </c:scaling>
        <c:delete val="0"/>
        <c:axPos val="l"/>
        <c:majorGridlines>
          <c:spPr>
            <a:ln w="3175">
              <a:solidFill>
                <a:srgbClr val="000000"/>
              </a:solidFill>
              <a:prstDash val="solid"/>
            </a:ln>
          </c:spPr>
        </c:majorGridlines>
        <c:numFmt formatCode="&quot;$&quot;#,##0_);\(&quot;$&quot;#,##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227454032"/>
        <c:crosses val="autoZero"/>
        <c:crossBetween val="midCat"/>
      </c:valAx>
      <c:spPr>
        <a:solidFill>
          <a:srgbClr val="C0C0C0"/>
        </a:solidFill>
        <a:ln w="12700">
          <a:solidFill>
            <a:srgbClr val="808080"/>
          </a:solidFill>
          <a:prstDash val="solid"/>
        </a:ln>
      </c:spPr>
    </c:plotArea>
    <c:legend>
      <c:legendPos val="b"/>
      <c:layout>
        <c:manualLayout>
          <c:xMode val="edge"/>
          <c:yMode val="edge"/>
          <c:x val="0.40376294811849056"/>
          <c:y val="0.92117243747530764"/>
          <c:w val="0.2981188792559496"/>
          <c:h val="5.8558639057110291E-2"/>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Main Street Store</a:t>
            </a:r>
            <a:endParaRPr lang="en-US" sz="14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r>
              <a:rPr lang="en-US" sz="1000" b="1" i="0" u="none" strike="noStrike" baseline="0">
                <a:solidFill>
                  <a:srgbClr val="000000"/>
                </a:solidFill>
                <a:latin typeface="Arial"/>
                <a:cs typeface="Arial"/>
              </a:rPr>
              <a:t>Expense Distribution, 2011</a:t>
            </a:r>
          </a:p>
        </c:rich>
      </c:tx>
      <c:layout>
        <c:manualLayout>
          <c:xMode val="edge"/>
          <c:yMode val="edge"/>
          <c:x val="0.34487783087266666"/>
          <c:y val="3.5874527831689262E-2"/>
        </c:manualLayout>
      </c:layout>
      <c:overlay val="0"/>
      <c:spPr>
        <a:noFill/>
        <a:ln w="25400">
          <a:noFill/>
        </a:ln>
      </c:spPr>
    </c:title>
    <c:autoTitleDeleted val="0"/>
    <c:plotArea>
      <c:layout>
        <c:manualLayout>
          <c:layoutTarget val="inner"/>
          <c:xMode val="edge"/>
          <c:yMode val="edge"/>
          <c:x val="0.31457475786711836"/>
          <c:y val="0.26905895873766988"/>
          <c:w val="0.39249694559567083"/>
          <c:h val="0.60986697313871763"/>
        </c:manualLayout>
      </c:layout>
      <c:pieChart>
        <c:varyColors val="1"/>
        <c:ser>
          <c:idx val="0"/>
          <c:order val="0"/>
          <c:tx>
            <c:v>Expenses</c:v>
          </c:tx>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7B0A-4ADA-AC57-E4178AC4B587}"/>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7B0A-4ADA-AC57-E4178AC4B587}"/>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7B0A-4ADA-AC57-E4178AC4B587}"/>
              </c:ext>
            </c:extLst>
          </c:dPt>
          <c:dLbls>
            <c:dLbl>
              <c:idx val="0"/>
              <c:layout>
                <c:manualLayout>
                  <c:x val="6.8314284309389503E-2"/>
                  <c:y val="4.553005827791555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B0A-4ADA-AC57-E4178AC4B587}"/>
                </c:ext>
              </c:extLst>
            </c:dLbl>
            <c:dLbl>
              <c:idx val="1"/>
              <c:layout>
                <c:manualLayout>
                  <c:x val="-7.3025410925806847E-2"/>
                  <c:y val="1.1524620711822586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0A-4ADA-AC57-E4178AC4B587}"/>
                </c:ext>
              </c:extLst>
            </c:dLbl>
            <c:dLbl>
              <c:idx val="2"/>
              <c:layout>
                <c:manualLayout>
                  <c:x val="-0.20242026845152244"/>
                  <c:y val="3.4669563230972904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0A-4ADA-AC57-E4178AC4B587}"/>
                </c:ext>
              </c:extLst>
            </c:dLbl>
            <c:dLbl>
              <c:idx val="3"/>
              <c:layout>
                <c:manualLayout>
                  <c:x val="0.20318472823428008"/>
                  <c:y val="-3.207852193520621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B0A-4ADA-AC57-E4178AC4B587}"/>
                </c:ext>
              </c:extLst>
            </c:dLbl>
            <c:dLbl>
              <c:idx val="4"/>
              <c:layout>
                <c:manualLayout>
                  <c:xMode val="edge"/>
                  <c:yMode val="edge"/>
                  <c:x val="0.17171741369810564"/>
                  <c:y val="0.1973099030742909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B0A-4ADA-AC57-E4178AC4B587}"/>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Sheet1!$B$40:$B$43</c:f>
              <c:strCache>
                <c:ptCount val="4"/>
                <c:pt idx="0">
                  <c:v>Cost of Goods Sold</c:v>
                </c:pt>
                <c:pt idx="1">
                  <c:v>S, G &amp; A Expenses</c:v>
                </c:pt>
                <c:pt idx="2">
                  <c:v>Interest Expense</c:v>
                </c:pt>
                <c:pt idx="3">
                  <c:v>Income Tax</c:v>
                </c:pt>
              </c:strCache>
            </c:strRef>
          </c:cat>
          <c:val>
            <c:numRef>
              <c:f>Sheet1!$D$40:$D$43</c:f>
              <c:numCache>
                <c:formatCode>"$"#,##0_);\("$"#,##0\)</c:formatCode>
                <c:ptCount val="4"/>
                <c:pt idx="0">
                  <c:v>850000</c:v>
                </c:pt>
                <c:pt idx="1">
                  <c:v>311000</c:v>
                </c:pt>
                <c:pt idx="2">
                  <c:v>9000</c:v>
                </c:pt>
                <c:pt idx="3">
                  <c:v>12000</c:v>
                </c:pt>
              </c:numCache>
            </c:numRef>
          </c:val>
          <c:extLst>
            <c:ext xmlns:c16="http://schemas.microsoft.com/office/drawing/2014/chart" uri="{C3380CC4-5D6E-409C-BE32-E72D297353CC}">
              <c16:uniqueId val="{00000008-7B0A-4ADA-AC57-E4178AC4B587}"/>
            </c:ext>
          </c:extLst>
        </c:ser>
        <c:dLbls>
          <c:showLegendKey val="0"/>
          <c:showVal val="1"/>
          <c:showCatName val="1"/>
          <c:showSerName val="0"/>
          <c:showPercent val="0"/>
          <c:showBubbleSize val="0"/>
          <c:showLeaderLines val="1"/>
        </c:dLbls>
        <c:firstSliceAng val="0"/>
      </c:pieChart>
      <c:spPr>
        <a:solidFill>
          <a:srgbClr val="C0C0C0"/>
        </a:solidFill>
        <a:ln w="12700">
          <a:solidFill>
            <a:srgbClr val="80808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75" b="1" i="0" u="none" strike="noStrike" baseline="0">
                <a:solidFill>
                  <a:srgbClr val="000000"/>
                </a:solidFill>
                <a:latin typeface="Arial"/>
                <a:ea typeface="Arial"/>
                <a:cs typeface="Arial"/>
              </a:defRPr>
            </a:pPr>
            <a:r>
              <a:rPr lang="en-US" sz="1175" b="1" i="0" u="none" strike="noStrike" baseline="0">
                <a:solidFill>
                  <a:srgbClr val="000000"/>
                </a:solidFill>
                <a:latin typeface="Arial"/>
                <a:cs typeface="Arial"/>
              </a:rPr>
              <a:t>Main Street Store</a:t>
            </a:r>
            <a:endParaRPr lang="en-US" sz="1350" b="1" i="0" u="none" strike="noStrike" baseline="0">
              <a:solidFill>
                <a:srgbClr val="000000"/>
              </a:solidFill>
              <a:latin typeface="Arial"/>
              <a:cs typeface="Arial"/>
            </a:endParaRPr>
          </a:p>
          <a:p>
            <a:pPr>
              <a:defRPr sz="1175" b="1" i="0" u="none" strike="noStrike" baseline="0">
                <a:solidFill>
                  <a:srgbClr val="000000"/>
                </a:solidFill>
                <a:latin typeface="Arial"/>
                <a:ea typeface="Arial"/>
                <a:cs typeface="Arial"/>
              </a:defRPr>
            </a:pPr>
            <a:r>
              <a:rPr lang="en-US" sz="975" b="1" i="0" u="none" strike="noStrike" baseline="0">
                <a:solidFill>
                  <a:srgbClr val="000000"/>
                </a:solidFill>
                <a:latin typeface="Arial"/>
                <a:cs typeface="Arial"/>
              </a:rPr>
              <a:t>Asset Distribution, Dec 31, 2011</a:t>
            </a:r>
          </a:p>
        </c:rich>
      </c:tx>
      <c:layout>
        <c:manualLayout>
          <c:xMode val="edge"/>
          <c:yMode val="edge"/>
          <c:x val="0.32323277872584677"/>
          <c:y val="3.5377460342868858E-2"/>
        </c:manualLayout>
      </c:layout>
      <c:overlay val="0"/>
      <c:spPr>
        <a:noFill/>
        <a:ln w="25400">
          <a:noFill/>
        </a:ln>
      </c:spPr>
    </c:title>
    <c:autoTitleDeleted val="0"/>
    <c:plotArea>
      <c:layout>
        <c:manualLayout>
          <c:layoutTarget val="inner"/>
          <c:xMode val="edge"/>
          <c:yMode val="edge"/>
          <c:x val="0.32756178915521111"/>
          <c:y val="0.27830268803056957"/>
          <c:w val="0.36507987954303139"/>
          <c:h val="0.5966998311163908"/>
        </c:manualLayout>
      </c:layout>
      <c:pieChart>
        <c:varyColors val="1"/>
        <c:ser>
          <c:idx val="0"/>
          <c:order val="0"/>
          <c:tx>
            <c:v>Assets</c:v>
          </c:tx>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C9C6-4066-ADDE-F7F941EF1F51}"/>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C9C6-4066-ADDE-F7F941EF1F51}"/>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C9C6-4066-ADDE-F7F941EF1F51}"/>
              </c:ext>
            </c:extLst>
          </c:dPt>
          <c:dLbls>
            <c:dLbl>
              <c:idx val="0"/>
              <c:layout>
                <c:manualLayout>
                  <c:x val="3.4605434060418001E-2"/>
                  <c:y val="-3.98034526605105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9C6-4066-ADDE-F7F941EF1F51}"/>
                </c:ext>
              </c:extLst>
            </c:dLbl>
            <c:dLbl>
              <c:idx val="1"/>
              <c:layout>
                <c:manualLayout>
                  <c:x val="5.2110458912517019E-2"/>
                  <c:y val="-5.212818104107372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C6-4066-ADDE-F7F941EF1F51}"/>
                </c:ext>
              </c:extLst>
            </c:dLbl>
            <c:dLbl>
              <c:idx val="2"/>
              <c:layout>
                <c:manualLayout>
                  <c:x val="-3.3466617725950082E-2"/>
                  <c:y val="1.33603131868305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C6-4066-ADDE-F7F941EF1F51}"/>
                </c:ext>
              </c:extLst>
            </c:dLbl>
            <c:dLbl>
              <c:idx val="3"/>
              <c:layout>
                <c:manualLayout>
                  <c:x val="-2.6320802426892812E-3"/>
                  <c:y val="6.0803652748063807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C6-4066-ADDE-F7F941EF1F51}"/>
                </c:ext>
              </c:extLst>
            </c:dLbl>
            <c:dLbl>
              <c:idx val="4"/>
              <c:layout>
                <c:manualLayout>
                  <c:xMode val="edge"/>
                  <c:yMode val="edge"/>
                  <c:x val="0.19191946236847124"/>
                  <c:y val="0.8820780112155306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9C6-4066-ADDE-F7F941EF1F51}"/>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Sheet1!$B$69:$B$72</c:f>
              <c:strCache>
                <c:ptCount val="4"/>
                <c:pt idx="0">
                  <c:v>Cash</c:v>
                </c:pt>
                <c:pt idx="1">
                  <c:v>Accounts Receivable</c:v>
                </c:pt>
                <c:pt idx="2">
                  <c:v>Inventory</c:v>
                </c:pt>
                <c:pt idx="3">
                  <c:v>Net Plant, and Equipment</c:v>
                </c:pt>
              </c:strCache>
            </c:strRef>
          </c:cat>
          <c:val>
            <c:numRef>
              <c:f>Sheet1!$D$69:$D$72</c:f>
              <c:numCache>
                <c:formatCode>"$"#,##0_);\("$"#,##0\)</c:formatCode>
                <c:ptCount val="4"/>
                <c:pt idx="0">
                  <c:v>34000</c:v>
                </c:pt>
                <c:pt idx="1">
                  <c:v>80000</c:v>
                </c:pt>
                <c:pt idx="2">
                  <c:v>170000</c:v>
                </c:pt>
                <c:pt idx="3">
                  <c:v>36000</c:v>
                </c:pt>
              </c:numCache>
            </c:numRef>
          </c:val>
          <c:extLst>
            <c:ext xmlns:c16="http://schemas.microsoft.com/office/drawing/2014/chart" uri="{C3380CC4-5D6E-409C-BE32-E72D297353CC}">
              <c16:uniqueId val="{00000008-C9C6-4066-ADDE-F7F941EF1F51}"/>
            </c:ext>
          </c:extLst>
        </c:ser>
        <c:dLbls>
          <c:showLegendKey val="0"/>
          <c:showVal val="1"/>
          <c:showCatName val="1"/>
          <c:showSerName val="0"/>
          <c:showPercent val="0"/>
          <c:showBubbleSize val="0"/>
          <c:showLeaderLines val="1"/>
        </c:dLbls>
        <c:firstSliceAng val="0"/>
      </c:pieChart>
      <c:spPr>
        <a:solidFill>
          <a:srgbClr val="C0C0C0"/>
        </a:solidFill>
        <a:ln w="12700">
          <a:solidFill>
            <a:srgbClr val="80808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1175"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Main Street Store</a:t>
            </a:r>
            <a:endParaRPr lang="en-US" sz="14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r>
              <a:rPr lang="en-US" sz="1000" b="1" i="0" u="none" strike="noStrike" baseline="0">
                <a:solidFill>
                  <a:srgbClr val="000000"/>
                </a:solidFill>
                <a:latin typeface="Arial"/>
                <a:cs typeface="Arial"/>
              </a:rPr>
              <a:t>Capital Structure, Dec 31, 2011</a:t>
            </a:r>
          </a:p>
        </c:rich>
      </c:tx>
      <c:layout>
        <c:manualLayout>
          <c:xMode val="edge"/>
          <c:yMode val="edge"/>
          <c:x val="0.32080958810398985"/>
          <c:y val="3.4764869568082744E-2"/>
        </c:manualLayout>
      </c:layout>
      <c:overlay val="0"/>
      <c:spPr>
        <a:noFill/>
        <a:ln w="25400">
          <a:noFill/>
        </a:ln>
      </c:spPr>
    </c:title>
    <c:autoTitleDeleted val="0"/>
    <c:plotArea>
      <c:layout>
        <c:manualLayout>
          <c:layoutTarget val="inner"/>
          <c:xMode val="edge"/>
          <c:yMode val="edge"/>
          <c:x val="0.31358414693047704"/>
          <c:y val="0.29243390283740306"/>
          <c:w val="0.39306399983912294"/>
          <c:h val="0.55623791308932391"/>
        </c:manualLayout>
      </c:layout>
      <c:pieChart>
        <c:varyColors val="1"/>
        <c:ser>
          <c:idx val="0"/>
          <c:order val="0"/>
          <c:tx>
            <c:v>Capital Structure</c:v>
          </c:tx>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D22B-4C38-9448-526135D1C8E6}"/>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D22B-4C38-9448-526135D1C8E6}"/>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D22B-4C38-9448-526135D1C8E6}"/>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7-D22B-4C38-9448-526135D1C8E6}"/>
              </c:ext>
            </c:extLst>
          </c:dPt>
          <c:dLbls>
            <c:dLbl>
              <c:idx val="0"/>
              <c:layout>
                <c:manualLayout>
                  <c:x val="5.5853275665718703E-2"/>
                  <c:y val="-6.375866131804658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22B-4C38-9448-526135D1C8E6}"/>
                </c:ext>
              </c:extLst>
            </c:dLbl>
            <c:dLbl>
              <c:idx val="1"/>
              <c:layout>
                <c:manualLayout>
                  <c:x val="4.1039699320016033E-2"/>
                  <c:y val="-4.46169310160605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2B-4C38-9448-526135D1C8E6}"/>
                </c:ext>
              </c:extLst>
            </c:dLbl>
            <c:dLbl>
              <c:idx val="2"/>
              <c:layout>
                <c:manualLayout>
                  <c:x val="6.895402174785506E-2"/>
                  <c:y val="-6.267420363642954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2B-4C38-9448-526135D1C8E6}"/>
                </c:ext>
              </c:extLst>
            </c:dLbl>
            <c:dLbl>
              <c:idx val="3"/>
              <c:layout>
                <c:manualLayout>
                  <c:x val="6.4929592613114748E-2"/>
                  <c:y val="-8.890138820240102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22B-4C38-9448-526135D1C8E6}"/>
                </c:ext>
              </c:extLst>
            </c:dLbl>
            <c:dLbl>
              <c:idx val="4"/>
              <c:layout>
                <c:manualLayout>
                  <c:x val="-4.2846874327642982E-2"/>
                  <c:y val="3.040439612847342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22B-4C38-9448-526135D1C8E6}"/>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Sheet1!$B$97:$B$101</c:f>
              <c:strCache>
                <c:ptCount val="5"/>
                <c:pt idx="0">
                  <c:v>Accounts Payable</c:v>
                </c:pt>
                <c:pt idx="1">
                  <c:v>Short-Term Debt</c:v>
                </c:pt>
                <c:pt idx="2">
                  <c:v>Other Current Liabilities</c:v>
                </c:pt>
                <c:pt idx="3">
                  <c:v>Long-Term Debt</c:v>
                </c:pt>
                <c:pt idx="4">
                  <c:v>Owner's Equity</c:v>
                </c:pt>
              </c:strCache>
            </c:strRef>
          </c:cat>
          <c:val>
            <c:numRef>
              <c:f>Sheet1!$D$97:$D$101</c:f>
              <c:numCache>
                <c:formatCode>"$"#,##0_);\("$"#,##0\)</c:formatCode>
                <c:ptCount val="5"/>
                <c:pt idx="0">
                  <c:v>35000</c:v>
                </c:pt>
                <c:pt idx="1">
                  <c:v>20000</c:v>
                </c:pt>
                <c:pt idx="2">
                  <c:v>12000</c:v>
                </c:pt>
                <c:pt idx="3">
                  <c:v>50000</c:v>
                </c:pt>
                <c:pt idx="4">
                  <c:v>203000</c:v>
                </c:pt>
              </c:numCache>
            </c:numRef>
          </c:val>
          <c:extLst>
            <c:ext xmlns:c16="http://schemas.microsoft.com/office/drawing/2014/chart" uri="{C3380CC4-5D6E-409C-BE32-E72D297353CC}">
              <c16:uniqueId val="{00000009-D22B-4C38-9448-526135D1C8E6}"/>
            </c:ext>
          </c:extLst>
        </c:ser>
        <c:dLbls>
          <c:showLegendKey val="0"/>
          <c:showVal val="1"/>
          <c:showCatName val="1"/>
          <c:showSerName val="0"/>
          <c:showPercent val="0"/>
          <c:showBubbleSize val="0"/>
          <c:showLeaderLines val="1"/>
        </c:dLbls>
        <c:firstSliceAng val="0"/>
      </c:pieChart>
      <c:spPr>
        <a:solidFill>
          <a:srgbClr val="C0C0C0"/>
        </a:solidFill>
        <a:ln w="12700">
          <a:solidFill>
            <a:srgbClr val="80808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rgbClr val="000000"/>
                </a:solidFill>
                <a:latin typeface="Arial"/>
                <a:ea typeface="Arial"/>
                <a:cs typeface="Arial"/>
              </a:defRPr>
            </a:pPr>
            <a:r>
              <a:rPr lang="en-US" sz="1200" b="1" i="0" u="none" strike="noStrike" baseline="0">
                <a:effectLst/>
              </a:rPr>
              <a:t>Joe’s Fly-By-Night Oil</a:t>
            </a:r>
          </a:p>
          <a:p>
            <a:pPr>
              <a:defRPr sz="1200" b="1"/>
            </a:pPr>
            <a:r>
              <a:rPr lang="en-US" sz="1000" b="1" i="0" u="none" strike="noStrike" baseline="0">
                <a:solidFill>
                  <a:srgbClr val="000000"/>
                </a:solidFill>
                <a:latin typeface="Arial"/>
                <a:cs typeface="Arial"/>
              </a:rPr>
              <a:t>Sales and Income Record</a:t>
            </a:r>
          </a:p>
        </c:rich>
      </c:tx>
      <c:layout>
        <c:manualLayout>
          <c:xMode val="edge"/>
          <c:yMode val="edge"/>
          <c:x val="0.35311168222549111"/>
          <c:y val="3.6036085573606297E-2"/>
        </c:manualLayout>
      </c:layout>
      <c:overlay val="0"/>
      <c:spPr>
        <a:noFill/>
        <a:ln w="25400">
          <a:noFill/>
        </a:ln>
        <a:effectLst/>
      </c:spPr>
      <c:txPr>
        <a:bodyPr rot="0" spcFirstLastPara="1" vertOverflow="ellipsis" vert="horz" wrap="square" anchor="ctr" anchorCtr="1"/>
        <a:lstStyle/>
        <a:p>
          <a:pPr>
            <a:defRPr sz="1200" b="1" i="0" u="none" strike="noStrike" kern="1200" baseline="0">
              <a:solidFill>
                <a:srgbClr val="000000"/>
              </a:solidFill>
              <a:latin typeface="Arial"/>
              <a:ea typeface="Arial"/>
              <a:cs typeface="Arial"/>
            </a:defRPr>
          </a:pPr>
          <a:endParaRPr lang="en-US"/>
        </a:p>
      </c:txPr>
    </c:title>
    <c:autoTitleDeleted val="0"/>
    <c:plotArea>
      <c:layout>
        <c:manualLayout>
          <c:layoutTarget val="inner"/>
          <c:xMode val="edge"/>
          <c:yMode val="edge"/>
          <c:x val="0.15774251378105941"/>
          <c:y val="0.24324357762184159"/>
          <c:w val="0.79160692695632406"/>
          <c:h val="0.5698206031326476"/>
        </c:manualLayout>
      </c:layout>
      <c:scatterChart>
        <c:scatterStyle val="lineMarker"/>
        <c:varyColors val="0"/>
        <c:ser>
          <c:idx val="0"/>
          <c:order val="0"/>
          <c:tx>
            <c:strRef>
              <c:f>[1]Sheet1!$B$4</c:f>
              <c:strCache>
                <c:ptCount val="1"/>
                <c:pt idx="0">
                  <c:v>Sales</c:v>
                </c:pt>
              </c:strCache>
            </c:strRef>
          </c:tx>
          <c:spPr>
            <a:ln w="28575" cap="rnd" cmpd="sng" algn="ctr">
              <a:solidFill>
                <a:schemeClr val="accent2">
                  <a:shade val="95000"/>
                  <a:satMod val="105000"/>
                </a:schemeClr>
              </a:solidFill>
              <a:prstDash val="solid"/>
              <a:round/>
            </a:ln>
            <a:effectLst/>
          </c:spPr>
          <c:marker>
            <c:symbol val="diamond"/>
            <c:size val="7"/>
            <c:spPr>
              <a:solidFill>
                <a:schemeClr val="accent2"/>
              </a:solidFill>
              <a:ln w="9525" cap="flat" cmpd="sng" algn="ctr">
                <a:solidFill>
                  <a:schemeClr val="accent2">
                    <a:shade val="95000"/>
                    <a:satMod val="105000"/>
                  </a:schemeClr>
                </a:solidFill>
                <a:prstDash val="solid"/>
                <a:round/>
              </a:ln>
              <a:effectLst/>
            </c:spPr>
          </c:marker>
          <c:dLbls>
            <c:spPr>
              <a:noFill/>
              <a:ln w="25400">
                <a:noFill/>
              </a:ln>
              <a:effectLst/>
            </c:spPr>
            <c:txPr>
              <a:bodyPr rot="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[1]Sheet1!$A$6:$A$9</c:f>
              <c:numCache>
                <c:formatCode>General</c:formatCode>
                <c:ptCount val="4"/>
                <c:pt idx="0">
                  <c:v>2021</c:v>
                </c:pt>
                <c:pt idx="1">
                  <c:v>2022</c:v>
                </c:pt>
                <c:pt idx="2">
                  <c:v>2023</c:v>
                </c:pt>
                <c:pt idx="3">
                  <c:v>2024</c:v>
                </c:pt>
              </c:numCache>
            </c:numRef>
          </c:xVal>
          <c:yVal>
            <c:numRef>
              <c:f>[1]Sheet1!$B$6:$B$9</c:f>
              <c:numCache>
                <c:formatCode>General</c:formatCode>
                <c:ptCount val="4"/>
                <c:pt idx="0">
                  <c:v>8200</c:v>
                </c:pt>
                <c:pt idx="1">
                  <c:v>8000</c:v>
                </c:pt>
                <c:pt idx="2">
                  <c:v>9000</c:v>
                </c:pt>
                <c:pt idx="3">
                  <c:v>10000</c:v>
                </c:pt>
              </c:numCache>
            </c:numRef>
          </c:yVal>
          <c:smooth val="0"/>
          <c:extLst>
            <c:ext xmlns:c16="http://schemas.microsoft.com/office/drawing/2014/chart" uri="{C3380CC4-5D6E-409C-BE32-E72D297353CC}">
              <c16:uniqueId val="{00000000-BD43-4503-A4C9-100EA216B849}"/>
            </c:ext>
          </c:extLst>
        </c:ser>
        <c:ser>
          <c:idx val="1"/>
          <c:order val="1"/>
          <c:tx>
            <c:strRef>
              <c:f>[1]Sheet1!$C$4</c:f>
              <c:strCache>
                <c:ptCount val="1"/>
                <c:pt idx="0">
                  <c:v>Net Income</c:v>
                </c:pt>
              </c:strCache>
            </c:strRef>
          </c:tx>
          <c:spPr>
            <a:ln w="28575" cap="rnd" cmpd="sng" algn="ctr">
              <a:solidFill>
                <a:schemeClr val="accent4">
                  <a:shade val="95000"/>
                  <a:satMod val="105000"/>
                </a:schemeClr>
              </a:solidFill>
              <a:prstDash val="solid"/>
              <a:round/>
            </a:ln>
            <a:effectLst/>
          </c:spPr>
          <c:marker>
            <c:spPr>
              <a:solidFill>
                <a:schemeClr val="accent4"/>
              </a:solidFill>
              <a:ln w="9525" cap="flat" cmpd="sng" algn="ctr">
                <a:solidFill>
                  <a:schemeClr val="accent4">
                    <a:shade val="95000"/>
                    <a:satMod val="105000"/>
                  </a:schemeClr>
                </a:solidFill>
                <a:prstDash val="solid"/>
                <a:round/>
              </a:ln>
              <a:effectLst/>
            </c:spPr>
          </c:marker>
          <c:xVal>
            <c:numRef>
              <c:f>[1]Sheet1!$A$6:$A$9</c:f>
              <c:numCache>
                <c:formatCode>General</c:formatCode>
                <c:ptCount val="4"/>
                <c:pt idx="0">
                  <c:v>2021</c:v>
                </c:pt>
                <c:pt idx="1">
                  <c:v>2022</c:v>
                </c:pt>
                <c:pt idx="2">
                  <c:v>2023</c:v>
                </c:pt>
                <c:pt idx="3">
                  <c:v>2024</c:v>
                </c:pt>
              </c:numCache>
            </c:numRef>
          </c:xVal>
          <c:yVal>
            <c:numRef>
              <c:f>[1]Sheet1!$C$6:$C$9</c:f>
              <c:numCache>
                <c:formatCode>General</c:formatCode>
                <c:ptCount val="4"/>
                <c:pt idx="0">
                  <c:v>1500</c:v>
                </c:pt>
                <c:pt idx="1">
                  <c:v>1400</c:v>
                </c:pt>
                <c:pt idx="2">
                  <c:v>1600</c:v>
                </c:pt>
                <c:pt idx="3">
                  <c:v>1800</c:v>
                </c:pt>
              </c:numCache>
            </c:numRef>
          </c:yVal>
          <c:smooth val="0"/>
          <c:extLst>
            <c:ext xmlns:c16="http://schemas.microsoft.com/office/drawing/2014/chart" uri="{C3380CC4-5D6E-409C-BE32-E72D297353CC}">
              <c16:uniqueId val="{00000001-BD43-4503-A4C9-100EA216B849}"/>
            </c:ext>
          </c:extLst>
        </c:ser>
        <c:dLbls>
          <c:showLegendKey val="0"/>
          <c:showVal val="0"/>
          <c:showCatName val="0"/>
          <c:showSerName val="0"/>
          <c:showPercent val="0"/>
          <c:showBubbleSize val="0"/>
        </c:dLbls>
        <c:axId val="-227454032"/>
        <c:axId val="-227444784"/>
      </c:scatterChart>
      <c:valAx>
        <c:axId val="-227454032"/>
        <c:scaling>
          <c:orientation val="minMax"/>
        </c:scaling>
        <c:delete val="0"/>
        <c:axPos val="b"/>
        <c:numFmt formatCode="General" sourceLinked="1"/>
        <c:majorTickMark val="out"/>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900" b="0" i="0" u="none" strike="noStrike" kern="1200" baseline="0">
                <a:solidFill>
                  <a:srgbClr val="000000"/>
                </a:solidFill>
                <a:latin typeface="Arial"/>
                <a:ea typeface="Arial"/>
                <a:cs typeface="Arial"/>
              </a:defRPr>
            </a:pPr>
            <a:endParaRPr lang="en-US"/>
          </a:p>
        </c:txPr>
        <c:crossAx val="-227444784"/>
        <c:crosses val="autoZero"/>
        <c:crossBetween val="midCat"/>
        <c:majorUnit val="1"/>
        <c:minorUnit val="1"/>
      </c:valAx>
      <c:valAx>
        <c:axId val="-227444784"/>
        <c:scaling>
          <c:orientation val="minMax"/>
        </c:scaling>
        <c:delete val="0"/>
        <c:axPos val="l"/>
        <c:majorGridlines>
          <c:spPr>
            <a:ln w="3175" cap="flat" cmpd="sng" algn="ctr">
              <a:solidFill>
                <a:srgbClr val="000000"/>
              </a:solidFill>
              <a:prstDash val="solid"/>
              <a:round/>
            </a:ln>
            <a:effectLst/>
          </c:spPr>
        </c:majorGridlines>
        <c:numFmt formatCode="General" sourceLinked="1"/>
        <c:majorTickMark val="out"/>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900" b="0" i="0" u="none" strike="noStrike" kern="1200" baseline="0">
                <a:solidFill>
                  <a:srgbClr val="000000"/>
                </a:solidFill>
                <a:latin typeface="Arial"/>
                <a:ea typeface="Arial"/>
                <a:cs typeface="Arial"/>
              </a:defRPr>
            </a:pPr>
            <a:endParaRPr lang="en-US"/>
          </a:p>
        </c:txPr>
        <c:crossAx val="-227454032"/>
        <c:crosses val="autoZero"/>
        <c:crossBetween val="midCat"/>
      </c:valAx>
      <c:spPr>
        <a:solidFill>
          <a:srgbClr val="C0C0C0"/>
        </a:solidFill>
        <a:ln w="12700">
          <a:solidFill>
            <a:srgbClr val="808080"/>
          </a:solidFill>
          <a:prstDash val="solid"/>
        </a:ln>
        <a:effectLst/>
      </c:spPr>
    </c:plotArea>
    <c:legend>
      <c:legendPos val="b"/>
      <c:layout>
        <c:manualLayout>
          <c:xMode val="edge"/>
          <c:yMode val="edge"/>
          <c:x val="0.40376294811849056"/>
          <c:y val="0.92117243747530764"/>
          <c:w val="0.35800216660014822"/>
          <c:h val="7.8827346304074827E-2"/>
        </c:manualLayout>
      </c:layout>
      <c:overlay val="0"/>
      <c:spPr>
        <a:solidFill>
          <a:srgbClr val="FFFFFF"/>
        </a:solidFill>
        <a:ln w="3175">
          <a:solidFill>
            <a:srgbClr val="000000"/>
          </a:solidFill>
          <a:prstDash val="solid"/>
        </a:ln>
        <a:effectLst/>
      </c:spPr>
      <c:txPr>
        <a:bodyPr rot="0" spcFirstLastPara="1" vertOverflow="ellipsis" vert="horz" wrap="square" anchor="ctr" anchorCtr="1"/>
        <a:lstStyle/>
        <a:p>
          <a:pPr>
            <a:defRPr sz="825"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cap="flat" cmpd="sng" algn="ctr">
      <a:solidFill>
        <a:srgbClr val="000000"/>
      </a:solidFill>
      <a:prstDash val="solid"/>
      <a:round/>
    </a:ln>
    <a:effectLst/>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effectLst/>
              </a:rPr>
              <a:t>Joe’s Fly-By-Night Oil</a:t>
            </a:r>
          </a:p>
          <a:p>
            <a:pPr>
              <a:defRPr sz="1200" b="1" i="0" u="none" strike="noStrike" baseline="0">
                <a:solidFill>
                  <a:srgbClr val="000000"/>
                </a:solidFill>
                <a:latin typeface="Arial"/>
                <a:ea typeface="Arial"/>
                <a:cs typeface="Arial"/>
              </a:defRPr>
            </a:pPr>
            <a:r>
              <a:rPr lang="en-US" sz="1000" b="1" i="0" u="none" strike="noStrike" baseline="0">
                <a:solidFill>
                  <a:srgbClr val="000000"/>
                </a:solidFill>
                <a:latin typeface="Arial"/>
                <a:cs typeface="Arial"/>
              </a:rPr>
              <a:t>Expense Distribution, 2024</a:t>
            </a:r>
          </a:p>
        </c:rich>
      </c:tx>
      <c:layout>
        <c:manualLayout>
          <c:xMode val="edge"/>
          <c:yMode val="edge"/>
          <c:x val="0.34487783087266666"/>
          <c:y val="3.5874527831689262E-2"/>
        </c:manualLayout>
      </c:layout>
      <c:overlay val="0"/>
      <c:spPr>
        <a:noFill/>
        <a:ln w="25400">
          <a:noFill/>
        </a:ln>
      </c:spPr>
    </c:title>
    <c:autoTitleDeleted val="0"/>
    <c:plotArea>
      <c:layout>
        <c:manualLayout>
          <c:layoutTarget val="inner"/>
          <c:xMode val="edge"/>
          <c:yMode val="edge"/>
          <c:x val="0.31457475786711836"/>
          <c:y val="0.26905895873766988"/>
          <c:w val="0.39249694559567083"/>
          <c:h val="0.60986697313871763"/>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0D0A-4407-B532-30A903FA2A59}"/>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0D0A-4407-B532-30A903FA2A59}"/>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0D0A-4407-B532-30A903FA2A59}"/>
              </c:ext>
            </c:extLst>
          </c:dPt>
          <c:dLbls>
            <c:dLbl>
              <c:idx val="0"/>
              <c:layout>
                <c:manualLayout>
                  <c:x val="6.8314284309389503E-2"/>
                  <c:y val="4.553005827791555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D0A-4407-B532-30A903FA2A59}"/>
                </c:ext>
              </c:extLst>
            </c:dLbl>
            <c:dLbl>
              <c:idx val="1"/>
              <c:layout>
                <c:manualLayout>
                  <c:x val="-7.3025410925806847E-2"/>
                  <c:y val="1.1524620711822586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0A-4407-B532-30A903FA2A59}"/>
                </c:ext>
              </c:extLst>
            </c:dLbl>
            <c:dLbl>
              <c:idx val="2"/>
              <c:layout>
                <c:manualLayout>
                  <c:x val="-0.20242026845152244"/>
                  <c:y val="3.4669563230972904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0A-4407-B532-30A903FA2A59}"/>
                </c:ext>
              </c:extLst>
            </c:dLbl>
            <c:dLbl>
              <c:idx val="3"/>
              <c:layout>
                <c:manualLayout>
                  <c:x val="0.20318472823428008"/>
                  <c:y val="-3.207852193520621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0A-4407-B532-30A903FA2A59}"/>
                </c:ext>
              </c:extLst>
            </c:dLbl>
            <c:dLbl>
              <c:idx val="4"/>
              <c:layout>
                <c:manualLayout>
                  <c:xMode val="edge"/>
                  <c:yMode val="edge"/>
                  <c:x val="0.17171741369810564"/>
                  <c:y val="0.1973099030742909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D0A-4407-B532-30A903FA2A59}"/>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[1]Sheet1!$A$35:$A$38</c:f>
              <c:strCache>
                <c:ptCount val="4"/>
                <c:pt idx="0">
                  <c:v>Cost of Goods Sold</c:v>
                </c:pt>
                <c:pt idx="1">
                  <c:v>S, G &amp; A Expenses</c:v>
                </c:pt>
                <c:pt idx="2">
                  <c:v>Interest Expense</c:v>
                </c:pt>
                <c:pt idx="3">
                  <c:v>Income Tax</c:v>
                </c:pt>
              </c:strCache>
            </c:strRef>
          </c:cat>
          <c:val>
            <c:numRef>
              <c:f>[1]Sheet1!$C$35:$C$38</c:f>
              <c:numCache>
                <c:formatCode>General</c:formatCode>
                <c:ptCount val="4"/>
                <c:pt idx="0">
                  <c:v>4000</c:v>
                </c:pt>
                <c:pt idx="1">
                  <c:v>3000</c:v>
                </c:pt>
                <c:pt idx="2">
                  <c:v>200</c:v>
                </c:pt>
                <c:pt idx="3">
                  <c:v>1000</c:v>
                </c:pt>
              </c:numCache>
            </c:numRef>
          </c:val>
          <c:extLst>
            <c:ext xmlns:c16="http://schemas.microsoft.com/office/drawing/2014/chart" uri="{C3380CC4-5D6E-409C-BE32-E72D297353CC}">
              <c16:uniqueId val="{00000008-0D0A-4407-B532-30A903FA2A59}"/>
            </c:ext>
          </c:extLst>
        </c:ser>
        <c:dLbls>
          <c:showLegendKey val="0"/>
          <c:showVal val="1"/>
          <c:showCatName val="1"/>
          <c:showSerName val="0"/>
          <c:showPercent val="0"/>
          <c:showBubbleSize val="0"/>
          <c:showLeaderLines val="1"/>
        </c:dLbls>
        <c:firstSliceAng val="0"/>
      </c:pieChart>
      <c:spPr>
        <a:solidFill>
          <a:srgbClr val="C0C0C0"/>
        </a:solidFill>
        <a:ln w="12700">
          <a:solidFill>
            <a:srgbClr val="80808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75" b="1" i="0" u="none" strike="noStrike" baseline="0">
                <a:solidFill>
                  <a:srgbClr val="000000"/>
                </a:solidFill>
                <a:latin typeface="Arial"/>
                <a:ea typeface="Arial"/>
                <a:cs typeface="Arial"/>
              </a:defRPr>
            </a:pPr>
            <a:r>
              <a:rPr lang="en-US" sz="1100" b="1" i="0" u="none" strike="noStrike" baseline="0">
                <a:effectLst/>
              </a:rPr>
              <a:t>Joe’s Fly-By-Night Oil</a:t>
            </a:r>
            <a:endParaRPr lang="en-US" sz="1350" b="1" i="0" u="none" strike="noStrike" baseline="0">
              <a:solidFill>
                <a:srgbClr val="000000"/>
              </a:solidFill>
              <a:latin typeface="Arial"/>
              <a:cs typeface="Arial"/>
            </a:endParaRPr>
          </a:p>
          <a:p>
            <a:pPr>
              <a:defRPr sz="1175" b="1" i="0" u="none" strike="noStrike" baseline="0">
                <a:solidFill>
                  <a:srgbClr val="000000"/>
                </a:solidFill>
                <a:latin typeface="Arial"/>
                <a:ea typeface="Arial"/>
                <a:cs typeface="Arial"/>
              </a:defRPr>
            </a:pPr>
            <a:r>
              <a:rPr lang="en-US" sz="975" b="1" i="0" u="none" strike="noStrike" baseline="0">
                <a:solidFill>
                  <a:srgbClr val="000000"/>
                </a:solidFill>
                <a:latin typeface="Arial"/>
                <a:cs typeface="Arial"/>
              </a:rPr>
              <a:t>Asset Distribution, Dec 31, 2024</a:t>
            </a:r>
          </a:p>
        </c:rich>
      </c:tx>
      <c:layout>
        <c:manualLayout>
          <c:xMode val="edge"/>
          <c:yMode val="edge"/>
          <c:x val="0.32323277872584677"/>
          <c:y val="3.5377460342868858E-2"/>
        </c:manualLayout>
      </c:layout>
      <c:overlay val="0"/>
      <c:spPr>
        <a:noFill/>
        <a:ln w="25400">
          <a:noFill/>
        </a:ln>
      </c:spPr>
    </c:title>
    <c:autoTitleDeleted val="0"/>
    <c:plotArea>
      <c:layout>
        <c:manualLayout>
          <c:layoutTarget val="inner"/>
          <c:xMode val="edge"/>
          <c:yMode val="edge"/>
          <c:x val="0.2948998936991985"/>
          <c:y val="0.19599503870189036"/>
          <c:w val="0.4276247494471771"/>
          <c:h val="0.7412943507060035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C003-4AFF-BA7B-56B3B4DEB52D}"/>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C003-4AFF-BA7B-56B3B4DEB52D}"/>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C003-4AFF-BA7B-56B3B4DEB52D}"/>
              </c:ext>
            </c:extLst>
          </c:dPt>
          <c:dLbls>
            <c:dLbl>
              <c:idx val="0"/>
              <c:layout>
                <c:manualLayout>
                  <c:x val="3.4605434060418001E-2"/>
                  <c:y val="-3.98034526605105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003-4AFF-BA7B-56B3B4DEB52D}"/>
                </c:ext>
              </c:extLst>
            </c:dLbl>
            <c:dLbl>
              <c:idx val="1"/>
              <c:layout>
                <c:manualLayout>
                  <c:x val="5.2110458912517019E-2"/>
                  <c:y val="-5.212818104107372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03-4AFF-BA7B-56B3B4DEB52D}"/>
                </c:ext>
              </c:extLst>
            </c:dLbl>
            <c:dLbl>
              <c:idx val="2"/>
              <c:layout>
                <c:manualLayout>
                  <c:x val="-3.3466617725950082E-2"/>
                  <c:y val="1.33603131868305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03-4AFF-BA7B-56B3B4DEB52D}"/>
                </c:ext>
              </c:extLst>
            </c:dLbl>
            <c:dLbl>
              <c:idx val="3"/>
              <c:layout>
                <c:manualLayout>
                  <c:x val="-2.6320802426892812E-3"/>
                  <c:y val="6.0803652748063807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003-4AFF-BA7B-56B3B4DEB52D}"/>
                </c:ext>
              </c:extLst>
            </c:dLbl>
            <c:dLbl>
              <c:idx val="4"/>
              <c:layout>
                <c:manualLayout>
                  <c:xMode val="edge"/>
                  <c:yMode val="edge"/>
                  <c:x val="0.19191946236847124"/>
                  <c:y val="0.8820780112155306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003-4AFF-BA7B-56B3B4DEB52D}"/>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[1]Sheet1!$A$70:$A$73</c:f>
              <c:strCache>
                <c:ptCount val="4"/>
                <c:pt idx="0">
                  <c:v>Cash</c:v>
                </c:pt>
                <c:pt idx="1">
                  <c:v>Accounts Receivable</c:v>
                </c:pt>
                <c:pt idx="2">
                  <c:v>Inventory</c:v>
                </c:pt>
                <c:pt idx="3">
                  <c:v>Net Plant, and Equipment</c:v>
                </c:pt>
              </c:strCache>
            </c:strRef>
          </c:cat>
          <c:val>
            <c:numRef>
              <c:f>[1]Sheet1!$C$70:$C$73</c:f>
              <c:numCache>
                <c:formatCode>General</c:formatCode>
                <c:ptCount val="4"/>
                <c:pt idx="0">
                  <c:v>5000</c:v>
                </c:pt>
                <c:pt idx="1">
                  <c:v>3000</c:v>
                </c:pt>
                <c:pt idx="2">
                  <c:v>17000</c:v>
                </c:pt>
                <c:pt idx="3">
                  <c:v>15000</c:v>
                </c:pt>
              </c:numCache>
            </c:numRef>
          </c:val>
          <c:extLst>
            <c:ext xmlns:c16="http://schemas.microsoft.com/office/drawing/2014/chart" uri="{C3380CC4-5D6E-409C-BE32-E72D297353CC}">
              <c16:uniqueId val="{00000008-C003-4AFF-BA7B-56B3B4DEB52D}"/>
            </c:ext>
          </c:extLst>
        </c:ser>
        <c:dLbls>
          <c:showLegendKey val="0"/>
          <c:showVal val="1"/>
          <c:showCatName val="1"/>
          <c:showSerName val="0"/>
          <c:showPercent val="0"/>
          <c:showBubbleSize val="0"/>
          <c:showLeaderLines val="1"/>
        </c:dLbls>
        <c:firstSliceAng val="0"/>
      </c:pieChart>
      <c:spPr>
        <a:solidFill>
          <a:srgbClr val="C0C0C0"/>
        </a:solidFill>
        <a:ln w="12700">
          <a:solidFill>
            <a:srgbClr val="80808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1175"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effectLst/>
              </a:rPr>
              <a:t>Joe’s Fly-By-Night Oil</a:t>
            </a:r>
            <a:endParaRPr lang="en-US" sz="16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r>
              <a:rPr lang="en-US" sz="1000" b="1" i="0" u="none" strike="noStrike" baseline="0">
                <a:solidFill>
                  <a:srgbClr val="000000"/>
                </a:solidFill>
                <a:latin typeface="Arial"/>
                <a:cs typeface="Arial"/>
              </a:rPr>
              <a:t>Capital Structure, Dec 31, 2024</a:t>
            </a:r>
          </a:p>
        </c:rich>
      </c:tx>
      <c:layout>
        <c:manualLayout>
          <c:xMode val="edge"/>
          <c:yMode val="edge"/>
          <c:x val="0.32080958810398985"/>
          <c:y val="3.4764869568082744E-2"/>
        </c:manualLayout>
      </c:layout>
      <c:overlay val="0"/>
      <c:spPr>
        <a:noFill/>
        <a:ln w="25400">
          <a:noFill/>
        </a:ln>
      </c:spPr>
    </c:title>
    <c:autoTitleDeleted val="0"/>
    <c:plotArea>
      <c:layout>
        <c:manualLayout>
          <c:layoutTarget val="inner"/>
          <c:xMode val="edge"/>
          <c:yMode val="edge"/>
          <c:x val="0.31358414693047704"/>
          <c:y val="0.29243390283740306"/>
          <c:w val="0.39306399983912294"/>
          <c:h val="0.55623791308932391"/>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F2B4-4932-B288-1747DDB4BB90}"/>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F2B4-4932-B288-1747DDB4BB90}"/>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F2B4-4932-B288-1747DDB4BB90}"/>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7-F2B4-4932-B288-1747DDB4BB90}"/>
              </c:ext>
            </c:extLst>
          </c:dPt>
          <c:dLbls>
            <c:dLbl>
              <c:idx val="0"/>
              <c:layout>
                <c:manualLayout>
                  <c:x val="5.5853275665718703E-2"/>
                  <c:y val="-6.375866131804658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2B4-4932-B288-1747DDB4BB90}"/>
                </c:ext>
              </c:extLst>
            </c:dLbl>
            <c:dLbl>
              <c:idx val="1"/>
              <c:layout>
                <c:manualLayout>
                  <c:x val="4.1039699320016033E-2"/>
                  <c:y val="-4.46169310160605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B4-4932-B288-1747DDB4BB90}"/>
                </c:ext>
              </c:extLst>
            </c:dLbl>
            <c:dLbl>
              <c:idx val="2"/>
              <c:layout>
                <c:manualLayout>
                  <c:x val="6.895402174785506E-2"/>
                  <c:y val="-6.267420363642954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B4-4932-B288-1747DDB4BB90}"/>
                </c:ext>
              </c:extLst>
            </c:dLbl>
            <c:dLbl>
              <c:idx val="3"/>
              <c:layout>
                <c:manualLayout>
                  <c:x val="6.4929592613114748E-2"/>
                  <c:y val="-8.890138820240102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2B4-4932-B288-1747DDB4BB90}"/>
                </c:ext>
              </c:extLst>
            </c:dLbl>
            <c:dLbl>
              <c:idx val="4"/>
              <c:layout>
                <c:manualLayout>
                  <c:x val="-4.2846874327642982E-2"/>
                  <c:y val="3.040439612847342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2B4-4932-B288-1747DDB4BB90}"/>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[1]Sheet1!$A$100:$A$104</c:f>
              <c:strCache>
                <c:ptCount val="5"/>
                <c:pt idx="0">
                  <c:v>Accounts Payable</c:v>
                </c:pt>
                <c:pt idx="1">
                  <c:v>Short-Term Debt</c:v>
                </c:pt>
                <c:pt idx="2">
                  <c:v>Other Current Liabilities</c:v>
                </c:pt>
                <c:pt idx="3">
                  <c:v>Long-Term Debt</c:v>
                </c:pt>
                <c:pt idx="4">
                  <c:v>Owner's Equity</c:v>
                </c:pt>
              </c:strCache>
            </c:strRef>
          </c:cat>
          <c:val>
            <c:numRef>
              <c:f>[1]Sheet1!$C$100:$C$104</c:f>
              <c:numCache>
                <c:formatCode>General</c:formatCode>
                <c:ptCount val="5"/>
                <c:pt idx="0">
                  <c:v>17000</c:v>
                </c:pt>
                <c:pt idx="1">
                  <c:v>17000</c:v>
                </c:pt>
                <c:pt idx="2">
                  <c:v>17000</c:v>
                </c:pt>
                <c:pt idx="3">
                  <c:v>3000</c:v>
                </c:pt>
                <c:pt idx="4">
                  <c:v>20000</c:v>
                </c:pt>
              </c:numCache>
            </c:numRef>
          </c:val>
          <c:extLst>
            <c:ext xmlns:c16="http://schemas.microsoft.com/office/drawing/2014/chart" uri="{C3380CC4-5D6E-409C-BE32-E72D297353CC}">
              <c16:uniqueId val="{00000009-F2B4-4932-B288-1747DDB4BB90}"/>
            </c:ext>
          </c:extLst>
        </c:ser>
        <c:dLbls>
          <c:showLegendKey val="0"/>
          <c:showVal val="1"/>
          <c:showCatName val="1"/>
          <c:showSerName val="0"/>
          <c:showPercent val="0"/>
          <c:showBubbleSize val="0"/>
          <c:showLeaderLines val="1"/>
        </c:dLbls>
        <c:firstSliceAng val="0"/>
      </c:pieChart>
      <c:spPr>
        <a:solidFill>
          <a:srgbClr val="C0C0C0"/>
        </a:solidFill>
        <a:ln w="12700">
          <a:solidFill>
            <a:srgbClr val="80808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138430</xdr:colOff>
      <xdr:row>8</xdr:row>
      <xdr:rowOff>68580</xdr:rowOff>
    </xdr:from>
    <xdr:to>
      <xdr:col>13</xdr:col>
      <xdr:colOff>520700</xdr:colOff>
      <xdr:row>28</xdr:row>
      <xdr:rowOff>99060</xdr:rowOff>
    </xdr:to>
    <xdr:graphicFrame macro="">
      <xdr:nvGraphicFramePr>
        <xdr:cNvPr id="1025" name="Chart 1">
          <a:extLst>
            <a:ext uri="{FF2B5EF4-FFF2-40B4-BE49-F238E27FC236}">
              <a16:creationId xmlns:a16="http://schemas.microsoft.com/office/drawing/2014/main" id="{00000000-0008-0000-0000-000001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1137920</xdr:colOff>
      <xdr:row>37</xdr:row>
      <xdr:rowOff>45720</xdr:rowOff>
    </xdr:from>
    <xdr:to>
      <xdr:col>13</xdr:col>
      <xdr:colOff>392430</xdr:colOff>
      <xdr:row>57</xdr:row>
      <xdr:rowOff>91440</xdr:rowOff>
    </xdr:to>
    <xdr:graphicFrame macro="">
      <xdr:nvGraphicFramePr>
        <xdr:cNvPr id="1026" name="Chart 2">
          <a:extLst>
            <a:ext uri="{FF2B5EF4-FFF2-40B4-BE49-F238E27FC236}">
              <a16:creationId xmlns:a16="http://schemas.microsoft.com/office/drawing/2014/main" id="{00000000-0008-0000-0000-000002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74295</xdr:colOff>
      <xdr:row>66</xdr:row>
      <xdr:rowOff>76200</xdr:rowOff>
    </xdr:from>
    <xdr:to>
      <xdr:col>13</xdr:col>
      <xdr:colOff>471805</xdr:colOff>
      <xdr:row>85</xdr:row>
      <xdr:rowOff>121920</xdr:rowOff>
    </xdr:to>
    <xdr:graphicFrame macro="">
      <xdr:nvGraphicFramePr>
        <xdr:cNvPr id="1027" name="Chart 3">
          <a:extLst>
            <a:ext uri="{FF2B5EF4-FFF2-40B4-BE49-F238E27FC236}">
              <a16:creationId xmlns:a16="http://schemas.microsoft.com/office/drawing/2014/main" id="{00000000-0008-0000-0000-00000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52705</xdr:colOff>
      <xdr:row>94</xdr:row>
      <xdr:rowOff>22225</xdr:rowOff>
    </xdr:from>
    <xdr:to>
      <xdr:col>13</xdr:col>
      <xdr:colOff>442595</xdr:colOff>
      <xdr:row>116</xdr:row>
      <xdr:rowOff>60325</xdr:rowOff>
    </xdr:to>
    <xdr:graphicFrame macro="">
      <xdr:nvGraphicFramePr>
        <xdr:cNvPr id="1028" name="Chart 4">
          <a:extLst>
            <a:ext uri="{FF2B5EF4-FFF2-40B4-BE49-F238E27FC236}">
              <a16:creationId xmlns:a16="http://schemas.microsoft.com/office/drawing/2014/main" id="{00000000-0008-0000-0000-00000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30</xdr:row>
      <xdr:rowOff>45720</xdr:rowOff>
    </xdr:from>
    <xdr:to>
      <xdr:col>13</xdr:col>
      <xdr:colOff>533400</xdr:colOff>
      <xdr:row>34</xdr:row>
      <xdr:rowOff>139700</xdr:rowOff>
    </xdr:to>
    <xdr:sp macro="" textlink="">
      <xdr:nvSpPr>
        <xdr:cNvPr id="1029" name="Text Box 5">
          <a:extLst>
            <a:ext uri="{FF2B5EF4-FFF2-40B4-BE49-F238E27FC236}">
              <a16:creationId xmlns:a16="http://schemas.microsoft.com/office/drawing/2014/main" id="{00000000-0008-0000-0000-000005040000}"/>
            </a:ext>
          </a:extLst>
        </xdr:cNvPr>
        <xdr:cNvSpPr txBox="1">
          <a:spLocks noChangeArrowheads="1"/>
        </xdr:cNvSpPr>
      </xdr:nvSpPr>
      <xdr:spPr bwMode="auto">
        <a:xfrm>
          <a:off x="76200" y="5074920"/>
          <a:ext cx="9398000" cy="75438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Except for a 15% drop in 2009 Main Street Store's sales have risen steadily in the last four years, averaging 7% growth per year.  Net income has tracked this growth rate each year except, again, for a dip in 2009.  We note that in the up years net income has risen by a greater percentage than sales, which indicates gains in efficiency.   However, what  caused the drop in sales and income in 2009?</a:t>
          </a:r>
        </a:p>
      </xdr:txBody>
    </xdr:sp>
    <xdr:clientData/>
  </xdr:twoCellAnchor>
  <xdr:twoCellAnchor>
    <xdr:from>
      <xdr:col>0</xdr:col>
      <xdr:colOff>76200</xdr:colOff>
      <xdr:row>59</xdr:row>
      <xdr:rowOff>45720</xdr:rowOff>
    </xdr:from>
    <xdr:to>
      <xdr:col>13</xdr:col>
      <xdr:colOff>533400</xdr:colOff>
      <xdr:row>62</xdr:row>
      <xdr:rowOff>137160</xdr:rowOff>
    </xdr:to>
    <xdr:sp macro="" textlink="">
      <xdr:nvSpPr>
        <xdr:cNvPr id="1030" name="Text Box 6">
          <a:extLst>
            <a:ext uri="{FF2B5EF4-FFF2-40B4-BE49-F238E27FC236}">
              <a16:creationId xmlns:a16="http://schemas.microsoft.com/office/drawing/2014/main" id="{00000000-0008-0000-0000-000006040000}"/>
            </a:ext>
          </a:extLst>
        </xdr:cNvPr>
        <xdr:cNvSpPr txBox="1">
          <a:spLocks noChangeArrowheads="1"/>
        </xdr:cNvSpPr>
      </xdr:nvSpPr>
      <xdr:spPr bwMode="auto">
        <a:xfrm>
          <a:off x="76200" y="9997440"/>
          <a:ext cx="9121140" cy="59436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Near three-fourths of Main Street Store's expenses in 2011 consisted of cost of goods sold, which we would expect for a retail store.  Selling, general, and administrative expenses make up nearly all the remaining fourth, which, again, appears to be normal for a retail store.  Interest and taxes make up the rest, amounting to only 2% of all expenses.</a:t>
          </a:r>
        </a:p>
      </xdr:txBody>
    </xdr:sp>
    <xdr:clientData/>
  </xdr:twoCellAnchor>
  <xdr:twoCellAnchor>
    <xdr:from>
      <xdr:col>0</xdr:col>
      <xdr:colOff>76200</xdr:colOff>
      <xdr:row>87</xdr:row>
      <xdr:rowOff>45720</xdr:rowOff>
    </xdr:from>
    <xdr:to>
      <xdr:col>13</xdr:col>
      <xdr:colOff>533400</xdr:colOff>
      <xdr:row>90</xdr:row>
      <xdr:rowOff>137160</xdr:rowOff>
    </xdr:to>
    <xdr:sp macro="" textlink="">
      <xdr:nvSpPr>
        <xdr:cNvPr id="1031" name="Text Box 7">
          <a:extLst>
            <a:ext uri="{FF2B5EF4-FFF2-40B4-BE49-F238E27FC236}">
              <a16:creationId xmlns:a16="http://schemas.microsoft.com/office/drawing/2014/main" id="{00000000-0008-0000-0000-000007040000}"/>
            </a:ext>
          </a:extLst>
        </xdr:cNvPr>
        <xdr:cNvSpPr txBox="1">
          <a:spLocks noChangeArrowheads="1"/>
        </xdr:cNvSpPr>
      </xdr:nvSpPr>
      <xdr:spPr bwMode="auto">
        <a:xfrm>
          <a:off x="76200" y="14691360"/>
          <a:ext cx="9121140" cy="59436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Over half of Main Street Store's assets are tied up in inventory, which seems high, although it may be normal for a clothing and accessories business (see page 54).  Accounts receivable is also significant, indicating much of Main Street Store's sales are on credit.   Plant &amp;  Equipment seem  small, indicating the store mya rent its building.</a:t>
          </a:r>
        </a:p>
      </xdr:txBody>
    </xdr:sp>
    <xdr:clientData/>
  </xdr:twoCellAnchor>
  <xdr:twoCellAnchor>
    <xdr:from>
      <xdr:col>0</xdr:col>
      <xdr:colOff>76200</xdr:colOff>
      <xdr:row>118</xdr:row>
      <xdr:rowOff>45720</xdr:rowOff>
    </xdr:from>
    <xdr:to>
      <xdr:col>13</xdr:col>
      <xdr:colOff>533400</xdr:colOff>
      <xdr:row>121</xdr:row>
      <xdr:rowOff>137160</xdr:rowOff>
    </xdr:to>
    <xdr:sp macro="" textlink="">
      <xdr:nvSpPr>
        <xdr:cNvPr id="1032" name="Text Box 8">
          <a:extLst>
            <a:ext uri="{FF2B5EF4-FFF2-40B4-BE49-F238E27FC236}">
              <a16:creationId xmlns:a16="http://schemas.microsoft.com/office/drawing/2014/main" id="{00000000-0008-0000-0000-000008040000}"/>
            </a:ext>
          </a:extLst>
        </xdr:cNvPr>
        <xdr:cNvSpPr txBox="1">
          <a:spLocks noChangeArrowheads="1"/>
        </xdr:cNvSpPr>
      </xdr:nvSpPr>
      <xdr:spPr bwMode="auto">
        <a:xfrm>
          <a:off x="76200" y="19888200"/>
          <a:ext cx="9121140" cy="59436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Main Street Store finances just over half its assets with equity, which does not seem out of line for a retail clothing manufacturer.  Long and short-term debt together make up about 22% of financing, with most of the rest arising from credit purchases from suppliers (accounts payable).  Nothing here to raise eyebrows.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3</xdr:col>
      <xdr:colOff>0</xdr:colOff>
      <xdr:row>0</xdr:row>
      <xdr:rowOff>0</xdr:rowOff>
    </xdr:to>
    <xdr:sp macro="" textlink="">
      <xdr:nvSpPr>
        <xdr:cNvPr id="2" name="Text Box 1">
          <a:extLst>
            <a:ext uri="{FF2B5EF4-FFF2-40B4-BE49-F238E27FC236}">
              <a16:creationId xmlns:a16="http://schemas.microsoft.com/office/drawing/2014/main" id="{00000000-0008-0000-0100-000002000000}"/>
            </a:ext>
          </a:extLst>
        </xdr:cNvPr>
        <xdr:cNvSpPr txBox="1">
          <a:spLocks noChangeArrowheads="1"/>
        </xdr:cNvSpPr>
      </xdr:nvSpPr>
      <xdr:spPr bwMode="auto">
        <a:xfrm>
          <a:off x="609600" y="0"/>
          <a:ext cx="1219200" cy="0"/>
        </a:xfrm>
        <a:prstGeom prst="rect">
          <a:avLst/>
        </a:prstGeom>
        <a:solidFill>
          <a:srgbClr val="FFFFFF"/>
        </a:solidFill>
        <a:ln w="9525">
          <a:noFill/>
          <a:miter lim="800000"/>
          <a:headEnd/>
          <a:tailEnd/>
        </a:ln>
      </xdr:spPr>
      <xdr:txBody>
        <a:bodyPr vertOverflow="clip" wrap="square" lIns="36576" tIns="27432" rIns="0" bIns="0" anchor="t" upright="1"/>
        <a:lstStyle/>
        <a:p>
          <a:pPr algn="l" rtl="0">
            <a:defRPr sz="1000"/>
          </a:pPr>
          <a:r>
            <a:rPr lang="en-US" sz="1000" b="0" i="0" u="none" strike="noStrike" baseline="0">
              <a:solidFill>
                <a:srgbClr val="000000"/>
              </a:solidFill>
              <a:latin typeface="Arial"/>
              <a:cs typeface="Arial"/>
            </a:rPr>
            <a:t>Going from 0 to 100 percent payout would have two possible effects. First, it might affect the price of the stock causing a change in the formula value of the warrant; however, it is not at all clear that the stock price would change, let alone what the change would be. Second, and more important here, the increase in the payout ratio drastically lowers the expected growth rate. This reduces the chance of the stock going up in the future. This lowers the expected value of the warrant, hence the premium and the price of the warrant.</a:t>
          </a:r>
        </a:p>
      </xdr:txBody>
    </xdr:sp>
    <xdr:clientData/>
  </xdr:twoCellAnchor>
  <xdr:twoCellAnchor editAs="oneCell">
    <xdr:from>
      <xdr:col>3</xdr:col>
      <xdr:colOff>0</xdr:colOff>
      <xdr:row>52</xdr:row>
      <xdr:rowOff>0</xdr:rowOff>
    </xdr:from>
    <xdr:to>
      <xdr:col>3</xdr:col>
      <xdr:colOff>381000</xdr:colOff>
      <xdr:row>56</xdr:row>
      <xdr:rowOff>160020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flipH="1">
          <a:off x="1828800" y="8420100"/>
          <a:ext cx="381000" cy="807720"/>
        </a:xfrm>
        <a:prstGeom prst="rect">
          <a:avLst/>
        </a:prstGeom>
        <a:noFill/>
        <a:ln w="9525">
          <a:no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222547</xdr:colOff>
      <xdr:row>3</xdr:row>
      <xdr:rowOff>0</xdr:rowOff>
    </xdr:from>
    <xdr:to>
      <xdr:col>13</xdr:col>
      <xdr:colOff>97921</xdr:colOff>
      <xdr:row>16</xdr:row>
      <xdr:rowOff>8902</xdr:rowOff>
    </xdr:to>
    <xdr:graphicFrame macro="">
      <xdr:nvGraphicFramePr>
        <xdr:cNvPr id="167" name="Chart 166">
          <a:extLst>
            <a:ext uri="{FF2B5EF4-FFF2-40B4-BE49-F238E27FC236}">
              <a16:creationId xmlns:a16="http://schemas.microsoft.com/office/drawing/2014/main" id="{5B33F48B-7F95-47EF-9CB9-AB6B64474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53412</xdr:colOff>
      <xdr:row>18</xdr:row>
      <xdr:rowOff>89018</xdr:rowOff>
    </xdr:from>
    <xdr:to>
      <xdr:col>12</xdr:col>
      <xdr:colOff>267056</xdr:colOff>
      <xdr:row>21</xdr:row>
      <xdr:rowOff>133528</xdr:rowOff>
    </xdr:to>
    <xdr:sp macro="" textlink="">
      <xdr:nvSpPr>
        <xdr:cNvPr id="168" name="Text Box 5">
          <a:extLst>
            <a:ext uri="{FF2B5EF4-FFF2-40B4-BE49-F238E27FC236}">
              <a16:creationId xmlns:a16="http://schemas.microsoft.com/office/drawing/2014/main" id="{483F66F8-E780-415D-9B8D-F55C109FCED0}"/>
            </a:ext>
          </a:extLst>
        </xdr:cNvPr>
        <xdr:cNvSpPr txBox="1">
          <a:spLocks noChangeArrowheads="1"/>
        </xdr:cNvSpPr>
      </xdr:nvSpPr>
      <xdr:spPr bwMode="auto">
        <a:xfrm>
          <a:off x="53412" y="3003668"/>
          <a:ext cx="7528844" cy="530285"/>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Except for a 2.4% drop in 2022 Joe's Fly-By-Night Oil sales have risen steadily in the last four years, averaging 7% growth per year.  Net income has tracked this growth rate each year except, again, for a dip in 2022.  We note that in the up years net income has remain as same as sales, which indicates gains in efficiency.   However, what  caused the drop in sales and income in 2022?</a:t>
          </a:r>
        </a:p>
      </xdr:txBody>
    </xdr:sp>
    <xdr:clientData/>
  </xdr:twoCellAnchor>
  <xdr:twoCellAnchor>
    <xdr:from>
      <xdr:col>5</xdr:col>
      <xdr:colOff>8903</xdr:colOff>
      <xdr:row>33</xdr:row>
      <xdr:rowOff>151332</xdr:rowOff>
    </xdr:from>
    <xdr:to>
      <xdr:col>11</xdr:col>
      <xdr:colOff>445095</xdr:colOff>
      <xdr:row>51</xdr:row>
      <xdr:rowOff>35607</xdr:rowOff>
    </xdr:to>
    <xdr:graphicFrame macro="">
      <xdr:nvGraphicFramePr>
        <xdr:cNvPr id="169" name="Chart 2">
          <a:extLst>
            <a:ext uri="{FF2B5EF4-FFF2-40B4-BE49-F238E27FC236}">
              <a16:creationId xmlns:a16="http://schemas.microsoft.com/office/drawing/2014/main" id="{1FD0AEF6-0EA5-49A9-8CCE-4A9BD103D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52</xdr:row>
      <xdr:rowOff>0</xdr:rowOff>
    </xdr:from>
    <xdr:to>
      <xdr:col>15</xdr:col>
      <xdr:colOff>29465</xdr:colOff>
      <xdr:row>55</xdr:row>
      <xdr:rowOff>110803</xdr:rowOff>
    </xdr:to>
    <xdr:sp macro="" textlink="">
      <xdr:nvSpPr>
        <xdr:cNvPr id="170" name="Text Box 6">
          <a:extLst>
            <a:ext uri="{FF2B5EF4-FFF2-40B4-BE49-F238E27FC236}">
              <a16:creationId xmlns:a16="http://schemas.microsoft.com/office/drawing/2014/main" id="{3026C703-EC29-49AA-A58F-F36AC57BB923}"/>
            </a:ext>
          </a:extLst>
        </xdr:cNvPr>
        <xdr:cNvSpPr txBox="1">
          <a:spLocks noChangeArrowheads="1"/>
        </xdr:cNvSpPr>
      </xdr:nvSpPr>
      <xdr:spPr bwMode="auto">
        <a:xfrm>
          <a:off x="0" y="8420100"/>
          <a:ext cx="9173465" cy="596578"/>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Near fifty percent of Joe's Fly-By-Night Oil  expenses in 2024 consisted of cost of goods sold, which we would expect for a retail store.  Selling, general, and administrative expenses make up nearly all the remaining thirty percent, which, again, appears to be normal for a retail store.  Interest and taxes make up the rest, amounting to 14% of all expenses which is a bit higher.</a:t>
          </a:r>
        </a:p>
      </xdr:txBody>
    </xdr:sp>
    <xdr:clientData/>
  </xdr:twoCellAnchor>
  <xdr:twoCellAnchor>
    <xdr:from>
      <xdr:col>3</xdr:col>
      <xdr:colOff>792266</xdr:colOff>
      <xdr:row>66</xdr:row>
      <xdr:rowOff>17803</xdr:rowOff>
    </xdr:from>
    <xdr:to>
      <xdr:col>11</xdr:col>
      <xdr:colOff>356075</xdr:colOff>
      <xdr:row>84</xdr:row>
      <xdr:rowOff>124625</xdr:rowOff>
    </xdr:to>
    <xdr:graphicFrame macro="">
      <xdr:nvGraphicFramePr>
        <xdr:cNvPr id="171" name="Chart 3">
          <a:extLst>
            <a:ext uri="{FF2B5EF4-FFF2-40B4-BE49-F238E27FC236}">
              <a16:creationId xmlns:a16="http://schemas.microsoft.com/office/drawing/2014/main" id="{796D229E-8A7B-4AA0-BB8D-5F56EFE77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86</xdr:row>
      <xdr:rowOff>0</xdr:rowOff>
    </xdr:from>
    <xdr:to>
      <xdr:col>13</xdr:col>
      <xdr:colOff>332129</xdr:colOff>
      <xdr:row>89</xdr:row>
      <xdr:rowOff>110802</xdr:rowOff>
    </xdr:to>
    <xdr:sp macro="" textlink="">
      <xdr:nvSpPr>
        <xdr:cNvPr id="172" name="Text Box 7">
          <a:extLst>
            <a:ext uri="{FF2B5EF4-FFF2-40B4-BE49-F238E27FC236}">
              <a16:creationId xmlns:a16="http://schemas.microsoft.com/office/drawing/2014/main" id="{C2F68456-FBF8-4B06-A1C2-C384DD505559}"/>
            </a:ext>
          </a:extLst>
        </xdr:cNvPr>
        <xdr:cNvSpPr txBox="1">
          <a:spLocks noChangeArrowheads="1"/>
        </xdr:cNvSpPr>
      </xdr:nvSpPr>
      <xdr:spPr bwMode="auto">
        <a:xfrm>
          <a:off x="0" y="13925550"/>
          <a:ext cx="8256929" cy="596577"/>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Over half of Joe's Fly-By-Night Oil assets are tied up in inventory, which seems high, although it may be normal for oil business (see </a:t>
          </a:r>
          <a:r>
            <a:rPr lang="en-US" sz="1000" b="0" i="0" u="none" strike="noStrike" baseline="0">
              <a:solidFill>
                <a:srgbClr val="FF0000"/>
              </a:solidFill>
              <a:latin typeface="Arial"/>
              <a:cs typeface="Arial"/>
            </a:rPr>
            <a:t>page</a:t>
          </a:r>
          <a:r>
            <a:rPr lang="en-US" sz="1000" b="0" i="0" u="none" strike="noStrike" baseline="0">
              <a:solidFill>
                <a:srgbClr val="000000"/>
              </a:solidFill>
              <a:latin typeface="Arial"/>
              <a:cs typeface="Arial"/>
            </a:rPr>
            <a:t> </a:t>
          </a:r>
          <a:r>
            <a:rPr lang="en-US" sz="1000" b="0" i="0" u="none" strike="noStrike" baseline="0">
              <a:solidFill>
                <a:srgbClr val="FF0000"/>
              </a:solidFill>
              <a:latin typeface="Arial"/>
              <a:cs typeface="Arial"/>
            </a:rPr>
            <a:t>54</a:t>
          </a:r>
          <a:r>
            <a:rPr lang="en-US" sz="1000" b="0" i="0" u="none" strike="noStrike" baseline="0">
              <a:solidFill>
                <a:srgbClr val="000000"/>
              </a:solidFill>
              <a:latin typeface="Arial"/>
              <a:cs typeface="Arial"/>
            </a:rPr>
            <a:t>).  Accounts receivable is also significant, indicating much of Main Street Store's sales are on credit.   Plant &amp;  Equipment seem  small, indicating the store mya rent its building.</a:t>
          </a:r>
        </a:p>
      </xdr:txBody>
    </xdr:sp>
    <xdr:clientData/>
  </xdr:twoCellAnchor>
  <xdr:twoCellAnchor>
    <xdr:from>
      <xdr:col>4</xdr:col>
      <xdr:colOff>17803</xdr:colOff>
      <xdr:row>91</xdr:row>
      <xdr:rowOff>133528</xdr:rowOff>
    </xdr:from>
    <xdr:to>
      <xdr:col>13</xdr:col>
      <xdr:colOff>275958</xdr:colOff>
      <xdr:row>110</xdr:row>
      <xdr:rowOff>62312</xdr:rowOff>
    </xdr:to>
    <xdr:graphicFrame macro="">
      <xdr:nvGraphicFramePr>
        <xdr:cNvPr id="173" name="Chart 4">
          <a:extLst>
            <a:ext uri="{FF2B5EF4-FFF2-40B4-BE49-F238E27FC236}">
              <a16:creationId xmlns:a16="http://schemas.microsoft.com/office/drawing/2014/main" id="{B4602B1A-864F-4664-A766-B8339CAD0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112</xdr:row>
      <xdr:rowOff>0</xdr:rowOff>
    </xdr:from>
    <xdr:to>
      <xdr:col>12</xdr:col>
      <xdr:colOff>465657</xdr:colOff>
      <xdr:row>115</xdr:row>
      <xdr:rowOff>110801</xdr:rowOff>
    </xdr:to>
    <xdr:sp macro="" textlink="">
      <xdr:nvSpPr>
        <xdr:cNvPr id="174" name="Text Box 8">
          <a:extLst>
            <a:ext uri="{FF2B5EF4-FFF2-40B4-BE49-F238E27FC236}">
              <a16:creationId xmlns:a16="http://schemas.microsoft.com/office/drawing/2014/main" id="{3AABB301-F7A0-4361-B370-CDE3D3F9BCDE}"/>
            </a:ext>
          </a:extLst>
        </xdr:cNvPr>
        <xdr:cNvSpPr txBox="1">
          <a:spLocks noChangeArrowheads="1"/>
        </xdr:cNvSpPr>
      </xdr:nvSpPr>
      <xdr:spPr bwMode="auto">
        <a:xfrm>
          <a:off x="0" y="18135600"/>
          <a:ext cx="7780857" cy="596576"/>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Joe's Fly-By-Night Oil finances just over half its assets with equity, which does not seem out of line for a retail clothing manufacturer.  Long and short-term debt together make up about 22% of financing, with most of the rest arising from credit purchases from suppliers (accounts payable).  Nothing here to raise eyebrows.</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hello-world\Book1.xlsx" TargetMode="External"/><Relationship Id="rId1" Type="http://schemas.openxmlformats.org/officeDocument/2006/relationships/externalLinkPath" Target="file:///E:\hello-world\Book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4">
          <cell r="A4" t="str">
            <v>Year</v>
          </cell>
          <cell r="B4" t="str">
            <v>Sales</v>
          </cell>
          <cell r="C4" t="str">
            <v>Net Income</v>
          </cell>
        </row>
        <row r="6">
          <cell r="A6">
            <v>2021</v>
          </cell>
          <cell r="B6">
            <v>8200</v>
          </cell>
          <cell r="C6">
            <v>1500</v>
          </cell>
        </row>
        <row r="7">
          <cell r="A7">
            <v>2022</v>
          </cell>
          <cell r="B7">
            <v>8000</v>
          </cell>
          <cell r="C7">
            <v>1400</v>
          </cell>
        </row>
        <row r="8">
          <cell r="A8">
            <v>2023</v>
          </cell>
          <cell r="B8">
            <v>9000</v>
          </cell>
          <cell r="C8">
            <v>1600</v>
          </cell>
        </row>
        <row r="9">
          <cell r="A9">
            <v>2024</v>
          </cell>
          <cell r="B9">
            <v>10000</v>
          </cell>
          <cell r="C9">
            <v>1800</v>
          </cell>
        </row>
        <row r="35">
          <cell r="A35" t="str">
            <v>Cost of Goods Sold</v>
          </cell>
          <cell r="C35">
            <v>4000</v>
          </cell>
        </row>
        <row r="36">
          <cell r="A36" t="str">
            <v>S, G &amp; A Expenses</v>
          </cell>
          <cell r="C36">
            <v>3000</v>
          </cell>
        </row>
        <row r="37">
          <cell r="A37" t="str">
            <v>Interest Expense</v>
          </cell>
          <cell r="C37">
            <v>200</v>
          </cell>
        </row>
        <row r="38">
          <cell r="A38" t="str">
            <v>Income Tax</v>
          </cell>
          <cell r="C38">
            <v>1000</v>
          </cell>
        </row>
        <row r="70">
          <cell r="A70" t="str">
            <v>Cash</v>
          </cell>
          <cell r="C70">
            <v>5000</v>
          </cell>
        </row>
        <row r="71">
          <cell r="A71" t="str">
            <v>Accounts Receivable</v>
          </cell>
          <cell r="C71">
            <v>3000</v>
          </cell>
        </row>
        <row r="72">
          <cell r="A72" t="str">
            <v>Inventory</v>
          </cell>
          <cell r="C72">
            <v>17000</v>
          </cell>
        </row>
        <row r="73">
          <cell r="A73" t="str">
            <v>Net Plant, and Equipment</v>
          </cell>
          <cell r="C73">
            <v>15000</v>
          </cell>
        </row>
        <row r="100">
          <cell r="A100" t="str">
            <v>Accounts Payable</v>
          </cell>
          <cell r="C100">
            <v>17000</v>
          </cell>
        </row>
        <row r="101">
          <cell r="A101" t="str">
            <v>Short-Term Debt</v>
          </cell>
          <cell r="C101">
            <v>17000</v>
          </cell>
        </row>
        <row r="102">
          <cell r="A102" t="str">
            <v>Other Current Liabilities</v>
          </cell>
          <cell r="C102">
            <v>17000</v>
          </cell>
        </row>
        <row r="103">
          <cell r="A103" t="str">
            <v>Long-Term Debt</v>
          </cell>
          <cell r="C103">
            <v>3000</v>
          </cell>
        </row>
        <row r="104">
          <cell r="A104" t="str">
            <v>Owner's Equity</v>
          </cell>
          <cell r="C104">
            <v>20000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
  <sheetViews>
    <sheetView topLeftCell="A104" zoomScale="80" zoomScaleNormal="80" zoomScaleSheetLayoutView="90" workbookViewId="0">
      <selection activeCell="C109" sqref="C109"/>
    </sheetView>
  </sheetViews>
  <sheetFormatPr defaultRowHeight="12.75"/>
  <cols>
    <col min="1" max="1" width="5.5703125" customWidth="1"/>
    <col min="2" max="2" width="13.85546875" customWidth="1"/>
    <col min="3" max="3" width="17.140625" bestFit="1" customWidth="1"/>
    <col min="4" max="4" width="13.140625" bestFit="1" customWidth="1"/>
    <col min="5" max="5" width="18" bestFit="1" customWidth="1"/>
  </cols>
  <sheetData>
    <row r="1" spans="1:14" ht="15.75">
      <c r="A1" s="44" t="s">
        <v>65</v>
      </c>
      <c r="B1" s="44"/>
      <c r="C1" s="44"/>
      <c r="D1" s="44"/>
      <c r="E1" s="44"/>
      <c r="F1" s="44"/>
      <c r="G1" s="44"/>
      <c r="H1" s="44"/>
      <c r="I1" s="44"/>
      <c r="J1" s="44"/>
      <c r="K1" s="44"/>
      <c r="L1" s="44"/>
      <c r="M1" s="44"/>
      <c r="N1" s="44"/>
    </row>
    <row r="2" spans="1:14" ht="15.75">
      <c r="A2" s="44" t="s">
        <v>20</v>
      </c>
      <c r="B2" s="44"/>
      <c r="C2" s="44"/>
      <c r="D2" s="44"/>
      <c r="E2" s="44"/>
      <c r="F2" s="44"/>
      <c r="G2" s="44"/>
      <c r="H2" s="44"/>
      <c r="I2" s="44"/>
      <c r="J2" s="44"/>
      <c r="K2" s="44"/>
      <c r="L2" s="44"/>
      <c r="M2" s="44"/>
      <c r="N2" s="44"/>
    </row>
    <row r="5" spans="1:14">
      <c r="A5" s="10"/>
    </row>
    <row r="6" spans="1:14">
      <c r="A6" s="11"/>
    </row>
    <row r="9" spans="1:14">
      <c r="A9" s="11" t="s">
        <v>66</v>
      </c>
      <c r="B9" t="s">
        <v>66</v>
      </c>
    </row>
    <row r="12" spans="1:14">
      <c r="A12" s="1" t="s">
        <v>0</v>
      </c>
      <c r="B12" s="38" t="s">
        <v>1</v>
      </c>
      <c r="C12" s="39" t="s">
        <v>3</v>
      </c>
      <c r="D12" s="1" t="s">
        <v>5</v>
      </c>
      <c r="E12" s="1" t="s">
        <v>4</v>
      </c>
    </row>
    <row r="14" spans="1:14">
      <c r="A14">
        <v>2008</v>
      </c>
      <c r="B14" s="3">
        <v>1100000</v>
      </c>
      <c r="C14" s="40">
        <v>15000</v>
      </c>
    </row>
    <row r="15" spans="1:14">
      <c r="A15">
        <v>2009</v>
      </c>
      <c r="B15" s="3">
        <v>900000</v>
      </c>
      <c r="C15" s="40">
        <v>13000</v>
      </c>
      <c r="D15" s="4">
        <f t="shared" ref="D15:E17" si="0">(B15/B14)-1</f>
        <v>-0.18181818181818177</v>
      </c>
      <c r="E15" s="4">
        <f t="shared" si="0"/>
        <v>-0.1333333333333333</v>
      </c>
    </row>
    <row r="16" spans="1:14">
      <c r="A16">
        <v>2010</v>
      </c>
      <c r="B16" s="3">
        <v>1100000</v>
      </c>
      <c r="C16" s="40">
        <v>16000</v>
      </c>
      <c r="D16" s="4">
        <f t="shared" si="0"/>
        <v>0.22222222222222232</v>
      </c>
      <c r="E16" s="4">
        <f t="shared" si="0"/>
        <v>0.23076923076923084</v>
      </c>
    </row>
    <row r="17" spans="1:5">
      <c r="A17">
        <v>2011</v>
      </c>
      <c r="B17" s="3">
        <v>1200000</v>
      </c>
      <c r="C17" s="40">
        <v>18000</v>
      </c>
      <c r="D17" s="4">
        <f t="shared" si="0"/>
        <v>9.0909090909090828E-2</v>
      </c>
      <c r="E17" s="4">
        <f t="shared" si="0"/>
        <v>0.125</v>
      </c>
    </row>
    <row r="19" spans="1:5">
      <c r="B19" s="1" t="s">
        <v>2</v>
      </c>
      <c r="C19" s="1"/>
      <c r="D19" s="5">
        <f>AVERAGE(D15:D17)</f>
        <v>4.3771043771043794E-2</v>
      </c>
      <c r="E19" s="5">
        <f>AVERAGE(E15:E17)</f>
        <v>7.4145299145299173E-2</v>
      </c>
    </row>
    <row r="38" spans="1:5">
      <c r="A38" s="11" t="s">
        <v>66</v>
      </c>
    </row>
    <row r="40" spans="1:5">
      <c r="B40" s="2" t="s">
        <v>7</v>
      </c>
      <c r="D40" s="3">
        <v>850000</v>
      </c>
      <c r="E40" s="7">
        <f>D40/$D$44</f>
        <v>0.71912013536379016</v>
      </c>
    </row>
    <row r="41" spans="1:5">
      <c r="B41" s="2" t="s">
        <v>17</v>
      </c>
      <c r="D41" s="3">
        <v>311000</v>
      </c>
      <c r="E41" s="7">
        <f>D41/$D$44</f>
        <v>0.26311336717428085</v>
      </c>
    </row>
    <row r="42" spans="1:5">
      <c r="B42" s="2" t="s">
        <v>8</v>
      </c>
      <c r="D42" s="3">
        <v>9000</v>
      </c>
      <c r="E42" s="7">
        <f>D42/$D$44</f>
        <v>7.6142131979695434E-3</v>
      </c>
    </row>
    <row r="43" spans="1:5">
      <c r="B43" s="2" t="s">
        <v>9</v>
      </c>
      <c r="D43" s="6">
        <v>12000</v>
      </c>
      <c r="E43" s="8">
        <f>D43/$D$44</f>
        <v>1.015228426395939E-2</v>
      </c>
    </row>
    <row r="44" spans="1:5">
      <c r="C44" s="1" t="s">
        <v>6</v>
      </c>
      <c r="D44" s="3">
        <f>SUM(D40:D43)</f>
        <v>1182000</v>
      </c>
      <c r="E44" s="7">
        <f>D44/$D$44</f>
        <v>1</v>
      </c>
    </row>
    <row r="47" spans="1:5">
      <c r="B47" s="2" t="s">
        <v>24</v>
      </c>
    </row>
    <row r="48" spans="1:5">
      <c r="C48" s="1" t="s">
        <v>21</v>
      </c>
      <c r="D48" s="3">
        <f>D43</f>
        <v>12000</v>
      </c>
    </row>
    <row r="49" spans="3:4">
      <c r="C49" s="1" t="s">
        <v>22</v>
      </c>
      <c r="D49" s="6">
        <f>30000</f>
        <v>30000</v>
      </c>
    </row>
    <row r="50" spans="3:4">
      <c r="C50" s="1" t="s">
        <v>23</v>
      </c>
      <c r="D50" s="12">
        <f>D48/D49</f>
        <v>0.4</v>
      </c>
    </row>
    <row r="67" spans="1:5">
      <c r="A67" s="11" t="s">
        <v>66</v>
      </c>
    </row>
    <row r="69" spans="1:5">
      <c r="B69" s="2" t="s">
        <v>18</v>
      </c>
      <c r="D69" s="3">
        <v>34000</v>
      </c>
      <c r="E69" s="7">
        <f>D69/$D$73</f>
        <v>0.10625</v>
      </c>
    </row>
    <row r="70" spans="1:5">
      <c r="B70" s="9" t="s">
        <v>10</v>
      </c>
      <c r="D70" s="3">
        <v>80000</v>
      </c>
      <c r="E70" s="7">
        <f>D70/$D$73</f>
        <v>0.25</v>
      </c>
    </row>
    <row r="71" spans="1:5">
      <c r="B71" s="9" t="s">
        <v>11</v>
      </c>
      <c r="D71" s="3">
        <v>170000</v>
      </c>
      <c r="E71" s="7">
        <f>D71/$D$73</f>
        <v>0.53125</v>
      </c>
    </row>
    <row r="72" spans="1:5">
      <c r="B72" s="2" t="s">
        <v>19</v>
      </c>
      <c r="D72" s="6">
        <f>40000-4000</f>
        <v>36000</v>
      </c>
      <c r="E72" s="8">
        <f>D72/$D$73</f>
        <v>0.1125</v>
      </c>
    </row>
    <row r="73" spans="1:5">
      <c r="C73" s="36" t="s">
        <v>6</v>
      </c>
      <c r="D73" s="37">
        <f>SUM(D69:D72)</f>
        <v>320000</v>
      </c>
      <c r="E73" s="7">
        <f>D73/$D$73</f>
        <v>1</v>
      </c>
    </row>
    <row r="95" spans="1:1">
      <c r="A95" s="11" t="s">
        <v>66</v>
      </c>
    </row>
    <row r="97" spans="2:5">
      <c r="B97" s="9" t="s">
        <v>14</v>
      </c>
      <c r="D97" s="3">
        <v>35000</v>
      </c>
      <c r="E97" s="7">
        <f t="shared" ref="E97:E102" si="1">D97/$D$102</f>
        <v>0.109375</v>
      </c>
    </row>
    <row r="98" spans="2:5">
      <c r="B98" s="9" t="s">
        <v>15</v>
      </c>
      <c r="D98" s="3">
        <v>20000</v>
      </c>
      <c r="E98" s="7">
        <f t="shared" si="1"/>
        <v>6.25E-2</v>
      </c>
    </row>
    <row r="99" spans="2:5">
      <c r="B99" s="9" t="s">
        <v>16</v>
      </c>
      <c r="D99" s="3">
        <v>12000</v>
      </c>
      <c r="E99" s="7">
        <f t="shared" si="1"/>
        <v>3.7499999999999999E-2</v>
      </c>
    </row>
    <row r="100" spans="2:5">
      <c r="B100" s="9" t="s">
        <v>12</v>
      </c>
      <c r="D100" s="3">
        <v>50000</v>
      </c>
      <c r="E100" s="7">
        <f t="shared" si="1"/>
        <v>0.15625</v>
      </c>
    </row>
    <row r="101" spans="2:5">
      <c r="B101" s="2" t="s">
        <v>13</v>
      </c>
      <c r="D101" s="6">
        <v>203000</v>
      </c>
      <c r="E101" s="8">
        <f t="shared" si="1"/>
        <v>0.63437500000000002</v>
      </c>
    </row>
    <row r="102" spans="2:5">
      <c r="C102" s="36" t="s">
        <v>6</v>
      </c>
      <c r="D102" s="37">
        <f>SUM(D97:D101)</f>
        <v>320000</v>
      </c>
      <c r="E102" s="7">
        <f t="shared" si="1"/>
        <v>1</v>
      </c>
    </row>
  </sheetData>
  <mergeCells count="2">
    <mergeCell ref="A1:N1"/>
    <mergeCell ref="A2:N2"/>
  </mergeCells>
  <phoneticPr fontId="2" type="noConversion"/>
  <pageMargins left="0.14000000000000001" right="0.18" top="0.7" bottom="0.19" header="0.22" footer="0.14000000000000001"/>
  <pageSetup scale="93" fitToHeight="10" orientation="landscape" r:id="rId1"/>
  <headerFooter alignWithMargins="0">
    <oddFooter>Page &amp;P</oddFooter>
  </headerFooter>
  <rowBreaks count="3" manualBreakCount="3">
    <brk id="36" max="16383" man="1"/>
    <brk id="65" max="16383" man="1"/>
    <brk id="92"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68"/>
  <sheetViews>
    <sheetView topLeftCell="A35" workbookViewId="0">
      <selection activeCell="B50" sqref="B50"/>
    </sheetView>
  </sheetViews>
  <sheetFormatPr defaultColWidth="9.140625" defaultRowHeight="12.75"/>
  <cols>
    <col min="1" max="1" width="28.5703125" style="13" customWidth="1"/>
    <col min="2" max="2" width="11" style="13" customWidth="1"/>
    <col min="3" max="3" width="13.7109375" style="13" customWidth="1"/>
    <col min="4" max="16384" width="9.140625" style="13"/>
  </cols>
  <sheetData>
    <row r="1" spans="1:3" ht="15.75">
      <c r="A1" s="45" t="s">
        <v>57</v>
      </c>
      <c r="B1" s="45"/>
      <c r="C1" s="45"/>
    </row>
    <row r="4" spans="1:3">
      <c r="A4" s="34" t="s">
        <v>56</v>
      </c>
      <c r="B4" s="19">
        <v>2012</v>
      </c>
      <c r="C4" s="19">
        <v>2011</v>
      </c>
    </row>
    <row r="6" spans="1:3">
      <c r="A6" s="13" t="s">
        <v>55</v>
      </c>
      <c r="B6" s="32">
        <v>549870</v>
      </c>
      <c r="C6" s="32">
        <v>532505</v>
      </c>
    </row>
    <row r="7" spans="1:3">
      <c r="A7" s="13" t="s">
        <v>54</v>
      </c>
      <c r="B7" s="31">
        <v>366549</v>
      </c>
      <c r="C7" s="31">
        <v>366263</v>
      </c>
    </row>
    <row r="8" spans="1:3">
      <c r="A8" s="23" t="s">
        <v>53</v>
      </c>
      <c r="B8" s="32">
        <f>B6-B7</f>
        <v>183321</v>
      </c>
      <c r="C8" s="32">
        <f>C6-C7</f>
        <v>166242</v>
      </c>
    </row>
    <row r="9" spans="1:3">
      <c r="A9" s="17" t="s">
        <v>52</v>
      </c>
      <c r="B9" s="21">
        <v>113842</v>
      </c>
      <c r="C9" s="21">
        <v>108276</v>
      </c>
    </row>
    <row r="10" spans="1:3">
      <c r="A10" s="13" t="s">
        <v>62</v>
      </c>
      <c r="B10" s="27">
        <v>0</v>
      </c>
      <c r="C10" s="27">
        <v>0</v>
      </c>
    </row>
    <row r="11" spans="1:3">
      <c r="A11" s="17" t="s">
        <v>51</v>
      </c>
      <c r="B11" s="32">
        <v>74164</v>
      </c>
      <c r="C11" s="32">
        <v>60912</v>
      </c>
    </row>
    <row r="12" spans="1:3">
      <c r="A12" s="25" t="s">
        <v>8</v>
      </c>
      <c r="B12" s="33">
        <v>0</v>
      </c>
      <c r="C12" s="33">
        <v>0</v>
      </c>
    </row>
    <row r="13" spans="1:3">
      <c r="A13" s="23" t="s">
        <v>50</v>
      </c>
      <c r="B13" s="32">
        <f>B11+B12</f>
        <v>74164</v>
      </c>
      <c r="C13" s="32">
        <f>C11+C12</f>
        <v>60912</v>
      </c>
    </row>
    <row r="14" spans="1:3">
      <c r="A14" s="13" t="s">
        <v>49</v>
      </c>
      <c r="B14" s="31">
        <v>22160</v>
      </c>
      <c r="C14" s="31">
        <v>16974</v>
      </c>
    </row>
    <row r="15" spans="1:3">
      <c r="A15" s="19" t="s">
        <v>48</v>
      </c>
      <c r="B15" s="30">
        <f>B13-B14</f>
        <v>52004</v>
      </c>
      <c r="C15" s="30">
        <f>C13-C14</f>
        <v>43938</v>
      </c>
    </row>
    <row r="18" spans="1:3">
      <c r="A18" s="23" t="s">
        <v>47</v>
      </c>
      <c r="B18" s="19">
        <f>B4</f>
        <v>2012</v>
      </c>
      <c r="C18" s="29">
        <f>C4</f>
        <v>2011</v>
      </c>
    </row>
    <row r="20" spans="1:3">
      <c r="A20" s="19" t="s">
        <v>46</v>
      </c>
    </row>
    <row r="21" spans="1:3">
      <c r="A21" s="17" t="s">
        <v>45</v>
      </c>
      <c r="B21" s="26">
        <f>63862+18746</f>
        <v>82608</v>
      </c>
      <c r="C21" s="26">
        <f>78612+10895</f>
        <v>89507</v>
      </c>
    </row>
    <row r="22" spans="1:3">
      <c r="A22" s="13" t="s">
        <v>44</v>
      </c>
      <c r="B22" s="21">
        <v>42108</v>
      </c>
      <c r="C22" s="21">
        <v>41895</v>
      </c>
    </row>
    <row r="23" spans="1:3">
      <c r="A23" s="13" t="s">
        <v>11</v>
      </c>
      <c r="B23" s="21">
        <v>62383</v>
      </c>
      <c r="C23" s="21">
        <v>71760</v>
      </c>
    </row>
    <row r="24" spans="1:3">
      <c r="A24" s="25" t="s">
        <v>64</v>
      </c>
      <c r="B24" s="21">
        <f>4148+5528</f>
        <v>9676</v>
      </c>
      <c r="C24" s="21">
        <f>5070+3391</f>
        <v>8461</v>
      </c>
    </row>
    <row r="25" spans="1:3">
      <c r="A25" s="13" t="s">
        <v>43</v>
      </c>
      <c r="B25" s="27">
        <v>466</v>
      </c>
      <c r="C25" s="27">
        <v>578</v>
      </c>
    </row>
    <row r="26" spans="1:3">
      <c r="A26" s="23" t="s">
        <v>42</v>
      </c>
      <c r="B26" s="35">
        <f>SUM(B21:B25)</f>
        <v>197241</v>
      </c>
      <c r="C26" s="35">
        <f>SUM(C21:C25)</f>
        <v>212201</v>
      </c>
    </row>
    <row r="27" spans="1:3">
      <c r="A27" s="23"/>
      <c r="B27" s="26"/>
      <c r="C27" s="26"/>
    </row>
    <row r="28" spans="1:3">
      <c r="A28" s="17" t="s">
        <v>41</v>
      </c>
      <c r="B28" s="21">
        <v>463727</v>
      </c>
      <c r="C28" s="21">
        <v>455097</v>
      </c>
    </row>
    <row r="29" spans="1:3">
      <c r="A29" s="13" t="s">
        <v>40</v>
      </c>
      <c r="B29" s="28">
        <v>-262437</v>
      </c>
      <c r="C29" s="28">
        <v>-242935</v>
      </c>
    </row>
    <row r="30" spans="1:3">
      <c r="A30" s="23" t="s">
        <v>39</v>
      </c>
      <c r="B30" s="26">
        <f>SUM(B28:B29)</f>
        <v>201290</v>
      </c>
      <c r="C30" s="26">
        <f>SUM(C28:C29)</f>
        <v>212162</v>
      </c>
    </row>
    <row r="31" spans="1:3">
      <c r="A31" s="25" t="s">
        <v>38</v>
      </c>
      <c r="B31" s="21">
        <v>73237</v>
      </c>
      <c r="C31" s="21">
        <v>73237</v>
      </c>
    </row>
    <row r="32" spans="1:3">
      <c r="A32" s="25" t="s">
        <v>37</v>
      </c>
      <c r="B32" s="21">
        <v>175024</v>
      </c>
      <c r="C32" s="21">
        <v>175024</v>
      </c>
    </row>
    <row r="33" spans="1:3">
      <c r="A33" s="13" t="s">
        <v>36</v>
      </c>
      <c r="B33" s="21">
        <f>448206-73237-175024</f>
        <v>199945</v>
      </c>
      <c r="C33" s="21">
        <f>96161+74209+3212+3935+7715</f>
        <v>185232</v>
      </c>
    </row>
    <row r="34" spans="1:3">
      <c r="A34" s="19" t="s">
        <v>61</v>
      </c>
      <c r="B34" s="22">
        <f>B26+SUM(B30:B33)</f>
        <v>846737</v>
      </c>
      <c r="C34" s="22">
        <f>C26+SUM(C30:C33)</f>
        <v>857856</v>
      </c>
    </row>
    <row r="35" spans="1:3">
      <c r="B35" s="22"/>
      <c r="C35" s="22"/>
    </row>
    <row r="36" spans="1:3">
      <c r="A36" s="19" t="s">
        <v>35</v>
      </c>
    </row>
    <row r="37" spans="1:3">
      <c r="A37" s="13" t="s">
        <v>34</v>
      </c>
      <c r="B37" s="26">
        <v>8942</v>
      </c>
      <c r="C37" s="26">
        <v>10683</v>
      </c>
    </row>
    <row r="38" spans="1:3">
      <c r="A38" s="13" t="s">
        <v>33</v>
      </c>
      <c r="B38" s="21">
        <v>0</v>
      </c>
      <c r="C38" s="21">
        <v>4603</v>
      </c>
    </row>
    <row r="39" spans="1:3">
      <c r="A39" s="13" t="s">
        <v>32</v>
      </c>
      <c r="B39" s="27">
        <f>45150+555+6118</f>
        <v>51823</v>
      </c>
      <c r="C39" s="27">
        <f>43069+574</f>
        <v>43643</v>
      </c>
    </row>
    <row r="40" spans="1:3">
      <c r="A40" s="23" t="s">
        <v>31</v>
      </c>
      <c r="B40" s="26">
        <f>SUM(B37:B39)</f>
        <v>60765</v>
      </c>
      <c r="C40" s="26">
        <f>SUM(C37:C39)</f>
        <v>58929</v>
      </c>
    </row>
    <row r="41" spans="1:3">
      <c r="A41" s="17" t="s">
        <v>30</v>
      </c>
      <c r="B41" s="21">
        <v>38748</v>
      </c>
      <c r="C41" s="21">
        <v>43521</v>
      </c>
    </row>
    <row r="42" spans="1:3">
      <c r="A42" s="25" t="s">
        <v>29</v>
      </c>
      <c r="B42" s="27">
        <f>136157-38748</f>
        <v>97409</v>
      </c>
      <c r="C42" s="27">
        <f>132992-43521</f>
        <v>89471</v>
      </c>
    </row>
    <row r="43" spans="1:3">
      <c r="A43" s="23" t="s">
        <v>60</v>
      </c>
      <c r="B43" s="26">
        <f>SUM(B40:B42)</f>
        <v>196922</v>
      </c>
      <c r="C43" s="26">
        <f>SUM(C40:C42)</f>
        <v>191921</v>
      </c>
    </row>
    <row r="44" spans="1:3">
      <c r="A44" s="17"/>
      <c r="B44" s="26"/>
      <c r="C44" s="26"/>
    </row>
    <row r="45" spans="1:3">
      <c r="A45" s="25" t="s">
        <v>28</v>
      </c>
      <c r="B45" s="21">
        <v>25450</v>
      </c>
      <c r="C45" s="21">
        <v>25333</v>
      </c>
    </row>
    <row r="46" spans="1:3">
      <c r="A46" s="25" t="s">
        <v>63</v>
      </c>
      <c r="B46" s="21">
        <v>15018</v>
      </c>
      <c r="C46" s="21">
        <v>14601</v>
      </c>
    </row>
    <row r="47" spans="1:3">
      <c r="A47" s="25" t="s">
        <v>27</v>
      </c>
      <c r="B47" s="21">
        <v>547576</v>
      </c>
      <c r="C47" s="21">
        <v>533677</v>
      </c>
    </row>
    <row r="48" spans="1:3">
      <c r="A48" s="25" t="s">
        <v>26</v>
      </c>
      <c r="B48" s="21">
        <v>80210</v>
      </c>
      <c r="C48" s="21">
        <v>114269</v>
      </c>
    </row>
    <row r="49" spans="1:3">
      <c r="A49" s="25" t="s">
        <v>25</v>
      </c>
      <c r="B49" s="21">
        <f>-16447-1992</f>
        <v>-18439</v>
      </c>
      <c r="C49" s="21">
        <f>-1992-19953</f>
        <v>-21945</v>
      </c>
    </row>
    <row r="50" spans="1:3">
      <c r="A50" s="23" t="s">
        <v>59</v>
      </c>
      <c r="B50" s="24">
        <f>SUM(B45:B49)</f>
        <v>649815</v>
      </c>
      <c r="C50" s="24">
        <f>SUM(C45:C49)</f>
        <v>665935</v>
      </c>
    </row>
    <row r="51" spans="1:3">
      <c r="A51" s="23" t="s">
        <v>58</v>
      </c>
      <c r="B51" s="22">
        <f>B43+B50</f>
        <v>846737</v>
      </c>
      <c r="C51" s="22">
        <f>C43+C50</f>
        <v>857856</v>
      </c>
    </row>
    <row r="52" spans="1:3">
      <c r="A52" s="14"/>
      <c r="B52" s="14"/>
      <c r="C52" s="14"/>
    </row>
    <row r="53" spans="1:3">
      <c r="B53" s="21"/>
      <c r="C53" s="21"/>
    </row>
    <row r="54" spans="1:3">
      <c r="C54" s="21"/>
    </row>
    <row r="55" spans="1:3">
      <c r="A55" s="20"/>
      <c r="B55" s="19"/>
      <c r="C55" s="19"/>
    </row>
    <row r="56" spans="1:3">
      <c r="A56" s="18"/>
      <c r="B56" s="15"/>
      <c r="C56" s="15"/>
    </row>
    <row r="57" spans="1:3">
      <c r="A57" s="17"/>
      <c r="B57" s="16"/>
      <c r="C57" s="16"/>
    </row>
    <row r="58" spans="1:3">
      <c r="B58" s="15"/>
      <c r="C58" s="15"/>
    </row>
    <row r="59" spans="1:3">
      <c r="A59" s="14"/>
      <c r="B59" s="14"/>
      <c r="C59" s="14"/>
    </row>
    <row r="60" spans="1:3">
      <c r="A60" s="14"/>
      <c r="B60" s="14"/>
      <c r="C60" s="14"/>
    </row>
    <row r="61" spans="1:3">
      <c r="A61" s="14"/>
      <c r="B61" s="14"/>
      <c r="C61" s="14"/>
    </row>
    <row r="62" spans="1:3">
      <c r="A62" s="14"/>
      <c r="B62" s="14"/>
      <c r="C62" s="14"/>
    </row>
    <row r="63" spans="1:3">
      <c r="A63" s="14"/>
      <c r="B63" s="14"/>
      <c r="C63" s="14"/>
    </row>
    <row r="64" spans="1:3">
      <c r="A64" s="14"/>
      <c r="B64" s="14"/>
      <c r="C64" s="14"/>
    </row>
    <row r="65" spans="1:3">
      <c r="A65" s="14"/>
      <c r="B65" s="14"/>
      <c r="C65" s="14"/>
    </row>
    <row r="66" spans="1:3">
      <c r="A66" s="14"/>
      <c r="B66" s="14"/>
      <c r="C66" s="14"/>
    </row>
    <row r="67" spans="1:3">
      <c r="A67" s="14"/>
      <c r="B67" s="14"/>
      <c r="C67" s="14"/>
    </row>
    <row r="68" spans="1:3">
      <c r="A68" s="14"/>
      <c r="B68" s="14"/>
      <c r="C68" s="14"/>
    </row>
  </sheetData>
  <mergeCells count="1">
    <mergeCell ref="A1:C1"/>
  </mergeCells>
  <pageMargins left="1.0900000000000001" right="0.26" top="1" bottom="0.43" header="0.5" footer="0.2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ECFB1-964D-48E5-AD41-DDD7BB45A310}">
  <dimension ref="A1"/>
  <sheetViews>
    <sheetView workbookViewId="0"/>
  </sheetViews>
  <sheetFormatPr defaultRowHeight="12.7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13255-BE4B-4D05-A07B-0DE3C4B9C6EB}">
  <dimension ref="A4:E124"/>
  <sheetViews>
    <sheetView zoomScale="82" workbookViewId="0">
      <selection activeCell="O16" sqref="O16"/>
    </sheetView>
  </sheetViews>
  <sheetFormatPr defaultRowHeight="12.75"/>
  <cols>
    <col min="1" max="1" width="22.7109375" bestFit="1" customWidth="1"/>
    <col min="3" max="3" width="16.140625" bestFit="1" customWidth="1"/>
    <col min="4" max="4" width="12.140625" bestFit="1" customWidth="1"/>
    <col min="5" max="5" width="17" bestFit="1" customWidth="1"/>
  </cols>
  <sheetData>
    <row r="4" spans="1:5">
      <c r="A4" s="1" t="s">
        <v>0</v>
      </c>
      <c r="B4" s="38" t="s">
        <v>1</v>
      </c>
      <c r="C4" s="39" t="s">
        <v>3</v>
      </c>
      <c r="D4" s="1" t="s">
        <v>5</v>
      </c>
      <c r="E4" s="1" t="s">
        <v>4</v>
      </c>
    </row>
    <row r="6" spans="1:5">
      <c r="A6">
        <v>2021</v>
      </c>
      <c r="B6" s="3">
        <v>8200</v>
      </c>
      <c r="C6" s="40">
        <v>1500</v>
      </c>
    </row>
    <row r="7" spans="1:5">
      <c r="A7">
        <v>2022</v>
      </c>
      <c r="B7" s="3">
        <v>8000</v>
      </c>
      <c r="C7" s="40">
        <v>1400</v>
      </c>
      <c r="D7" s="4">
        <f t="shared" ref="D7:E9" si="0">(B7/B6)-1</f>
        <v>-2.4390243902439046E-2</v>
      </c>
      <c r="E7" s="4">
        <f t="shared" si="0"/>
        <v>-6.6666666666666652E-2</v>
      </c>
    </row>
    <row r="8" spans="1:5">
      <c r="A8">
        <v>2023</v>
      </c>
      <c r="B8" s="3">
        <v>9000</v>
      </c>
      <c r="C8" s="40">
        <v>1600</v>
      </c>
      <c r="D8" s="4">
        <f t="shared" si="0"/>
        <v>0.125</v>
      </c>
      <c r="E8" s="4">
        <f t="shared" si="0"/>
        <v>0.14285714285714279</v>
      </c>
    </row>
    <row r="9" spans="1:5">
      <c r="A9">
        <v>2024</v>
      </c>
      <c r="B9" s="3">
        <v>10000</v>
      </c>
      <c r="C9" s="40">
        <v>1800</v>
      </c>
      <c r="D9" s="4">
        <f t="shared" si="0"/>
        <v>0.11111111111111116</v>
      </c>
      <c r="E9" s="4">
        <f t="shared" si="0"/>
        <v>0.125</v>
      </c>
    </row>
    <row r="11" spans="1:5">
      <c r="B11" s="1" t="s">
        <v>2</v>
      </c>
      <c r="C11" s="1"/>
      <c r="D11" s="5">
        <f>AVERAGE(D7:D9)</f>
        <v>7.0573622402890709E-2</v>
      </c>
      <c r="E11" s="5">
        <f>AVERAGE(E7:E9)</f>
        <v>6.7063492063492047E-2</v>
      </c>
    </row>
    <row r="35" spans="2:5">
      <c r="B35" s="2" t="s">
        <v>7</v>
      </c>
      <c r="D35" s="3">
        <v>4000</v>
      </c>
      <c r="E35" s="7">
        <f>D35/D39</f>
        <v>0.48780487804878048</v>
      </c>
    </row>
    <row r="36" spans="2:5">
      <c r="B36" s="2" t="s">
        <v>17</v>
      </c>
      <c r="D36" s="3">
        <v>3000</v>
      </c>
      <c r="E36" s="7">
        <f>D36/D39</f>
        <v>0.36585365853658536</v>
      </c>
    </row>
    <row r="37" spans="2:5">
      <c r="B37" s="2" t="s">
        <v>8</v>
      </c>
      <c r="D37" s="3">
        <v>200</v>
      </c>
      <c r="E37" s="7">
        <f>D37/D39</f>
        <v>2.4390243902439025E-2</v>
      </c>
    </row>
    <row r="38" spans="2:5">
      <c r="B38" s="2" t="s">
        <v>9</v>
      </c>
      <c r="D38" s="6">
        <v>1000</v>
      </c>
      <c r="E38" s="7">
        <f>D38/D39</f>
        <v>0.12195121951219512</v>
      </c>
    </row>
    <row r="39" spans="2:5">
      <c r="C39" s="1" t="s">
        <v>6</v>
      </c>
      <c r="D39" s="3">
        <f>SUM(D35:D38)</f>
        <v>8200</v>
      </c>
      <c r="E39" s="7">
        <f>D39/D39</f>
        <v>1</v>
      </c>
    </row>
    <row r="42" spans="2:5">
      <c r="B42" s="2" t="s">
        <v>24</v>
      </c>
    </row>
    <row r="43" spans="2:5">
      <c r="C43" s="1" t="s">
        <v>21</v>
      </c>
      <c r="D43" s="3">
        <f>D38</f>
        <v>1000</v>
      </c>
    </row>
    <row r="44" spans="2:5">
      <c r="C44" s="1" t="s">
        <v>22</v>
      </c>
      <c r="D44" s="6">
        <v>2800</v>
      </c>
    </row>
    <row r="45" spans="2:5">
      <c r="C45" s="1" t="s">
        <v>23</v>
      </c>
      <c r="D45" s="12">
        <f>D43/D44</f>
        <v>0.35714285714285715</v>
      </c>
    </row>
    <row r="70" spans="1:4">
      <c r="A70" s="2" t="s">
        <v>18</v>
      </c>
      <c r="C70" s="3">
        <v>5000</v>
      </c>
      <c r="D70" s="7">
        <f>C70/$C$74</f>
        <v>0.125</v>
      </c>
    </row>
    <row r="71" spans="1:4">
      <c r="A71" s="9" t="s">
        <v>10</v>
      </c>
      <c r="C71" s="3">
        <v>3000</v>
      </c>
      <c r="D71" s="7">
        <f>C71/$C$74</f>
        <v>7.4999999999999997E-2</v>
      </c>
    </row>
    <row r="72" spans="1:4">
      <c r="A72" s="9" t="s">
        <v>11</v>
      </c>
      <c r="C72" s="3">
        <v>17000</v>
      </c>
      <c r="D72" s="7">
        <f>C72/$C$74</f>
        <v>0.42499999999999999</v>
      </c>
    </row>
    <row r="73" spans="1:4">
      <c r="A73" s="2" t="s">
        <v>19</v>
      </c>
      <c r="C73" s="6">
        <v>15000</v>
      </c>
      <c r="D73" s="7">
        <f>C73/$C$74</f>
        <v>0.375</v>
      </c>
    </row>
    <row r="74" spans="1:4">
      <c r="B74" s="36" t="s">
        <v>6</v>
      </c>
      <c r="C74" s="37">
        <f>SUM(C70:C73)</f>
        <v>40000</v>
      </c>
      <c r="D74" s="7">
        <f>C74/$C$74</f>
        <v>1</v>
      </c>
    </row>
    <row r="93" spans="1:4">
      <c r="A93" s="9" t="s">
        <v>14</v>
      </c>
      <c r="C93" s="3">
        <v>17000</v>
      </c>
      <c r="D93" s="43">
        <f t="shared" ref="D93:D98" si="1">C93/$C$98</f>
        <v>0.22972972972972974</v>
      </c>
    </row>
    <row r="94" spans="1:4">
      <c r="A94" s="9" t="s">
        <v>15</v>
      </c>
      <c r="C94" s="41">
        <v>17000</v>
      </c>
      <c r="D94" s="43">
        <f t="shared" si="1"/>
        <v>0.22972972972972974</v>
      </c>
    </row>
    <row r="95" spans="1:4">
      <c r="A95" s="9" t="s">
        <v>16</v>
      </c>
      <c r="C95" s="3">
        <v>17000</v>
      </c>
      <c r="D95" s="43">
        <f t="shared" si="1"/>
        <v>0.22972972972972974</v>
      </c>
    </row>
    <row r="96" spans="1:4">
      <c r="A96" s="9" t="s">
        <v>12</v>
      </c>
      <c r="C96" s="3">
        <v>3000</v>
      </c>
      <c r="D96" s="43">
        <f t="shared" si="1"/>
        <v>4.0540540540540543E-2</v>
      </c>
    </row>
    <row r="97" spans="1:4">
      <c r="A97" s="2" t="s">
        <v>13</v>
      </c>
      <c r="C97" s="41">
        <v>20000</v>
      </c>
      <c r="D97" s="43">
        <f t="shared" si="1"/>
        <v>0.27027027027027029</v>
      </c>
    </row>
    <row r="98" spans="1:4">
      <c r="B98" s="36" t="s">
        <v>6</v>
      </c>
      <c r="C98" s="37">
        <f>SUM(C93:C97)</f>
        <v>74000</v>
      </c>
      <c r="D98" s="43">
        <f t="shared" si="1"/>
        <v>1</v>
      </c>
    </row>
    <row r="100" spans="1:4">
      <c r="A100" t="s">
        <v>68</v>
      </c>
      <c r="B100" t="s">
        <v>69</v>
      </c>
    </row>
    <row r="101" spans="1:4">
      <c r="B101">
        <f>20000 - 3000</f>
        <v>17000</v>
      </c>
    </row>
    <row r="116" spans="1:2">
      <c r="B116" s="41"/>
    </row>
    <row r="117" spans="1:2">
      <c r="B117" s="41"/>
    </row>
    <row r="118" spans="1:2">
      <c r="B118" s="41"/>
    </row>
    <row r="120" spans="1:2">
      <c r="B120" s="42"/>
    </row>
    <row r="121" spans="1:2">
      <c r="B121" s="41"/>
    </row>
    <row r="123" spans="1:2">
      <c r="B123" s="41"/>
    </row>
    <row r="124" spans="1:2">
      <c r="A124" t="s">
        <v>67</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4C08E-A157-4339-9E2B-BE848D8157C4}">
  <dimension ref="A1:F59"/>
  <sheetViews>
    <sheetView tabSelected="1" workbookViewId="0">
      <selection activeCell="G2" sqref="G2"/>
    </sheetView>
  </sheetViews>
  <sheetFormatPr defaultRowHeight="12.75"/>
  <cols>
    <col min="1" max="1" width="53.140625" bestFit="1" customWidth="1"/>
    <col min="2" max="6" width="10.140625" bestFit="1" customWidth="1"/>
  </cols>
  <sheetData>
    <row r="1" spans="1:6">
      <c r="A1" t="s">
        <v>70</v>
      </c>
      <c r="B1">
        <v>2023</v>
      </c>
      <c r="C1">
        <v>2022</v>
      </c>
      <c r="D1">
        <v>2021</v>
      </c>
      <c r="E1">
        <v>2020</v>
      </c>
      <c r="F1">
        <v>2019</v>
      </c>
    </row>
    <row r="2" spans="1:6">
      <c r="A2" t="s">
        <v>71</v>
      </c>
      <c r="B2" s="46">
        <v>769365</v>
      </c>
      <c r="C2" s="46">
        <v>686970</v>
      </c>
      <c r="D2" s="46">
        <v>570776</v>
      </c>
      <c r="E2" s="46">
        <v>471063</v>
      </c>
      <c r="F2" s="46">
        <v>527113</v>
      </c>
    </row>
    <row r="3" spans="1:6">
      <c r="A3" t="s">
        <v>5</v>
      </c>
      <c r="B3" s="47">
        <v>0.11990000000000001</v>
      </c>
      <c r="C3" s="47">
        <v>0.2036</v>
      </c>
      <c r="D3" s="47">
        <v>0.2117</v>
      </c>
      <c r="E3" s="47">
        <v>-0.10630000000000001</v>
      </c>
      <c r="F3" t="s">
        <v>72</v>
      </c>
    </row>
    <row r="5" spans="1:6">
      <c r="A5" t="s">
        <v>73</v>
      </c>
      <c r="B5" s="46">
        <v>511940</v>
      </c>
      <c r="C5" s="46">
        <v>454586</v>
      </c>
      <c r="D5" s="46">
        <v>373683</v>
      </c>
      <c r="E5" s="46">
        <v>300455</v>
      </c>
      <c r="F5" s="46">
        <v>329482</v>
      </c>
    </row>
    <row r="6" spans="1:6">
      <c r="A6" t="s">
        <v>74</v>
      </c>
      <c r="B6" s="46">
        <v>493697</v>
      </c>
      <c r="C6" s="46">
        <v>436918</v>
      </c>
      <c r="D6" s="46">
        <v>356113</v>
      </c>
      <c r="E6" s="46">
        <v>282271</v>
      </c>
      <c r="F6" s="46">
        <v>310703</v>
      </c>
    </row>
    <row r="7" spans="1:6">
      <c r="A7" t="s">
        <v>75</v>
      </c>
      <c r="B7" s="46">
        <v>18243</v>
      </c>
      <c r="C7" s="46">
        <v>17668</v>
      </c>
      <c r="D7" s="46">
        <v>17570</v>
      </c>
      <c r="E7" s="46">
        <v>18184</v>
      </c>
      <c r="F7" s="46">
        <v>18779</v>
      </c>
    </row>
    <row r="8" spans="1:6">
      <c r="A8" t="s">
        <v>76</v>
      </c>
      <c r="B8" s="46">
        <v>18243</v>
      </c>
      <c r="C8" s="46">
        <v>17668</v>
      </c>
      <c r="D8" s="46">
        <v>17570</v>
      </c>
      <c r="E8" s="46">
        <v>18184</v>
      </c>
      <c r="F8" s="46">
        <v>18779</v>
      </c>
    </row>
    <row r="9" spans="1:6">
      <c r="A9" t="s">
        <v>77</v>
      </c>
      <c r="B9" s="47">
        <v>0.12620000000000001</v>
      </c>
      <c r="C9" s="47">
        <v>0.2165</v>
      </c>
      <c r="D9" s="47">
        <v>0.2437</v>
      </c>
      <c r="E9" s="47">
        <v>-8.8099999999999998E-2</v>
      </c>
      <c r="F9" t="s">
        <v>72</v>
      </c>
    </row>
    <row r="11" spans="1:6">
      <c r="A11" t="s">
        <v>78</v>
      </c>
      <c r="B11" s="46">
        <v>257425</v>
      </c>
      <c r="C11" s="46">
        <v>232384</v>
      </c>
      <c r="D11" s="46">
        <v>197093</v>
      </c>
      <c r="E11" s="46">
        <v>170608</v>
      </c>
      <c r="F11" s="46">
        <v>197631</v>
      </c>
    </row>
    <row r="12" spans="1:6">
      <c r="A12" t="s">
        <v>79</v>
      </c>
      <c r="B12" s="47">
        <v>0.10780000000000001</v>
      </c>
      <c r="C12" s="47">
        <v>0.17910000000000001</v>
      </c>
      <c r="D12" s="47">
        <v>0.1552</v>
      </c>
      <c r="E12" s="47">
        <v>-0.13669999999999999</v>
      </c>
      <c r="F12" t="s">
        <v>72</v>
      </c>
    </row>
    <row r="14" spans="1:6">
      <c r="A14" t="s">
        <v>80</v>
      </c>
      <c r="B14" s="47">
        <v>0.33460000000000001</v>
      </c>
      <c r="C14" t="s">
        <v>72</v>
      </c>
      <c r="D14" t="s">
        <v>72</v>
      </c>
      <c r="E14" t="s">
        <v>72</v>
      </c>
      <c r="F14" t="s">
        <v>72</v>
      </c>
    </row>
    <row r="15" spans="1:6">
      <c r="A15" t="s">
        <v>81</v>
      </c>
      <c r="B15" s="46">
        <v>155012</v>
      </c>
      <c r="C15" s="46">
        <v>121976</v>
      </c>
      <c r="D15" s="46">
        <v>132108</v>
      </c>
      <c r="E15" s="46">
        <v>112117</v>
      </c>
      <c r="F15" s="46">
        <v>127425</v>
      </c>
    </row>
    <row r="16" spans="1:6">
      <c r="A16" t="s">
        <v>82</v>
      </c>
      <c r="B16" s="46">
        <v>155012</v>
      </c>
      <c r="C16" s="46">
        <v>121976</v>
      </c>
      <c r="D16" s="46">
        <v>132108</v>
      </c>
      <c r="E16" s="46">
        <v>112117</v>
      </c>
      <c r="F16" s="46">
        <v>127425</v>
      </c>
    </row>
    <row r="17" spans="1:6">
      <c r="A17" t="s">
        <v>83</v>
      </c>
      <c r="B17" s="47">
        <v>0.27079999999999999</v>
      </c>
      <c r="C17" s="47">
        <v>-7.6700000000000004E-2</v>
      </c>
      <c r="D17" s="47">
        <v>0.17829999999999999</v>
      </c>
      <c r="E17" s="47">
        <v>-0.1201</v>
      </c>
      <c r="F17" t="s">
        <v>72</v>
      </c>
    </row>
    <row r="19" spans="1:6">
      <c r="A19" t="s">
        <v>51</v>
      </c>
      <c r="B19" s="46">
        <v>102413</v>
      </c>
      <c r="C19" s="46">
        <v>110408</v>
      </c>
      <c r="D19" s="46">
        <v>64985</v>
      </c>
      <c r="E19" s="46">
        <v>58491</v>
      </c>
      <c r="F19" s="46">
        <v>70206</v>
      </c>
    </row>
    <row r="20" spans="1:6">
      <c r="A20" t="s">
        <v>84</v>
      </c>
      <c r="B20" t="s">
        <v>72</v>
      </c>
      <c r="C20" t="s">
        <v>72</v>
      </c>
      <c r="D20" t="s">
        <v>72</v>
      </c>
      <c r="E20" t="s">
        <v>72</v>
      </c>
      <c r="F20">
        <v>377</v>
      </c>
    </row>
    <row r="21" spans="1:6">
      <c r="A21" t="s">
        <v>85</v>
      </c>
      <c r="B21" s="46">
        <v>12607</v>
      </c>
      <c r="C21" s="46">
        <v>-14804</v>
      </c>
      <c r="D21" s="46">
        <v>18050</v>
      </c>
      <c r="E21" s="46">
        <v>13930</v>
      </c>
      <c r="F21" s="46">
        <v>11372</v>
      </c>
    </row>
    <row r="23" spans="1:6">
      <c r="A23" t="s">
        <v>86</v>
      </c>
      <c r="B23" s="46">
        <v>5211</v>
      </c>
      <c r="C23" s="46">
        <v>2641</v>
      </c>
      <c r="D23" s="46">
        <v>2740</v>
      </c>
      <c r="E23" s="46">
        <v>4005</v>
      </c>
      <c r="F23" s="46">
        <v>4423</v>
      </c>
    </row>
    <row r="24" spans="1:6">
      <c r="A24" t="s">
        <v>8</v>
      </c>
      <c r="B24">
        <v>337</v>
      </c>
      <c r="C24">
        <v>104</v>
      </c>
      <c r="D24">
        <v>46</v>
      </c>
      <c r="E24">
        <v>164</v>
      </c>
      <c r="F24">
        <v>220</v>
      </c>
    </row>
    <row r="25" spans="1:6">
      <c r="A25" t="s">
        <v>87</v>
      </c>
      <c r="B25" s="47">
        <v>2.2404000000000002</v>
      </c>
      <c r="C25" s="47">
        <v>1.2608999999999999</v>
      </c>
      <c r="D25" s="47">
        <v>-0.71950000000000003</v>
      </c>
      <c r="E25" s="47">
        <v>-0.2545</v>
      </c>
      <c r="F25" t="s">
        <v>72</v>
      </c>
    </row>
    <row r="27" spans="1:6">
      <c r="A27" t="s">
        <v>88</v>
      </c>
      <c r="B27">
        <v>337</v>
      </c>
      <c r="C27">
        <v>104</v>
      </c>
      <c r="D27">
        <v>46</v>
      </c>
      <c r="E27">
        <v>164</v>
      </c>
      <c r="F27">
        <v>220</v>
      </c>
    </row>
    <row r="28" spans="1:6">
      <c r="A28" t="s">
        <v>89</v>
      </c>
      <c r="B28" s="46">
        <v>119894</v>
      </c>
      <c r="C28" s="46">
        <v>98141</v>
      </c>
      <c r="D28" s="46">
        <v>85729</v>
      </c>
      <c r="E28" s="46">
        <v>76262</v>
      </c>
      <c r="F28" s="46">
        <v>85404</v>
      </c>
    </row>
    <row r="29" spans="1:6">
      <c r="A29" t="s">
        <v>90</v>
      </c>
      <c r="B29" s="47">
        <v>0.22170000000000001</v>
      </c>
      <c r="C29" s="47">
        <v>0.14480000000000001</v>
      </c>
      <c r="D29" s="47">
        <v>0.1241</v>
      </c>
      <c r="E29" s="47">
        <v>-0.107</v>
      </c>
      <c r="F29" t="s">
        <v>72</v>
      </c>
    </row>
    <row r="31" spans="1:6">
      <c r="A31" t="s">
        <v>91</v>
      </c>
      <c r="B31" s="47">
        <v>0.15579999999999999</v>
      </c>
      <c r="C31" t="s">
        <v>72</v>
      </c>
      <c r="D31" t="s">
        <v>72</v>
      </c>
      <c r="E31" t="s">
        <v>72</v>
      </c>
      <c r="F31" t="s">
        <v>72</v>
      </c>
    </row>
    <row r="32" spans="1:6">
      <c r="A32" t="s">
        <v>9</v>
      </c>
      <c r="B32" s="46">
        <v>28008</v>
      </c>
      <c r="C32" s="46">
        <v>22249</v>
      </c>
      <c r="D32" s="46">
        <v>20421</v>
      </c>
      <c r="E32" s="46">
        <v>17288</v>
      </c>
      <c r="F32" s="46">
        <v>20565</v>
      </c>
    </row>
    <row r="33" spans="1:6">
      <c r="A33" t="s">
        <v>92</v>
      </c>
      <c r="B33" s="46">
        <v>25448</v>
      </c>
      <c r="C33" s="46">
        <v>15675</v>
      </c>
      <c r="D33" s="46">
        <v>19708</v>
      </c>
      <c r="E33" s="46">
        <v>16594</v>
      </c>
      <c r="F33" s="46">
        <v>18075</v>
      </c>
    </row>
    <row r="34" spans="1:6">
      <c r="A34" t="s">
        <v>93</v>
      </c>
      <c r="B34" s="46">
        <v>3775</v>
      </c>
      <c r="C34" s="46">
        <v>4110</v>
      </c>
      <c r="D34" s="46">
        <v>1983</v>
      </c>
      <c r="E34" s="46">
        <v>1029</v>
      </c>
      <c r="F34" t="s">
        <v>72</v>
      </c>
    </row>
    <row r="35" spans="1:6">
      <c r="A35" t="s">
        <v>94</v>
      </c>
      <c r="B35" s="46">
        <v>-1873</v>
      </c>
      <c r="C35" s="46">
        <v>2383</v>
      </c>
      <c r="D35" s="46">
        <v>-1309</v>
      </c>
      <c r="E35" s="46">
        <v>-1651</v>
      </c>
      <c r="F35">
        <v>68</v>
      </c>
    </row>
    <row r="37" spans="1:6">
      <c r="A37" t="s">
        <v>95</v>
      </c>
      <c r="B37">
        <v>658</v>
      </c>
      <c r="C37">
        <v>81</v>
      </c>
      <c r="D37">
        <v>39</v>
      </c>
      <c r="E37" s="46">
        <v>1316</v>
      </c>
      <c r="F37" s="46">
        <v>2422</v>
      </c>
    </row>
    <row r="38" spans="1:6">
      <c r="A38" t="s">
        <v>96</v>
      </c>
      <c r="B38" s="46">
        <v>91886</v>
      </c>
      <c r="C38" s="46">
        <v>75892</v>
      </c>
      <c r="D38" s="46">
        <v>65308</v>
      </c>
      <c r="E38" s="46">
        <v>58974</v>
      </c>
      <c r="F38" s="46">
        <v>64839</v>
      </c>
    </row>
    <row r="39" spans="1:6">
      <c r="A39" t="s">
        <v>97</v>
      </c>
      <c r="B39">
        <v>-26</v>
      </c>
      <c r="C39">
        <v>-45</v>
      </c>
      <c r="D39">
        <v>-18</v>
      </c>
      <c r="E39">
        <v>-21</v>
      </c>
      <c r="F39">
        <v>-81</v>
      </c>
    </row>
    <row r="41" spans="1:6">
      <c r="A41" t="s">
        <v>3</v>
      </c>
      <c r="B41" s="46">
        <v>91912</v>
      </c>
      <c r="C41" s="46">
        <v>75937</v>
      </c>
      <c r="D41" s="46">
        <v>65326</v>
      </c>
      <c r="E41" s="46">
        <v>58995</v>
      </c>
      <c r="F41" s="46">
        <v>64920</v>
      </c>
    </row>
    <row r="42" spans="1:6">
      <c r="A42" t="s">
        <v>4</v>
      </c>
      <c r="B42" s="47">
        <v>0.2104</v>
      </c>
      <c r="C42" s="47">
        <v>0.16239999999999999</v>
      </c>
      <c r="D42" s="47">
        <v>0.10730000000000001</v>
      </c>
      <c r="E42" s="47">
        <v>-9.1300000000000006E-2</v>
      </c>
      <c r="F42" t="s">
        <v>72</v>
      </c>
    </row>
    <row r="44" spans="1:6">
      <c r="A44" t="s">
        <v>98</v>
      </c>
      <c r="B44" s="47">
        <v>0.1195</v>
      </c>
      <c r="C44" t="s">
        <v>72</v>
      </c>
      <c r="D44" t="s">
        <v>72</v>
      </c>
      <c r="E44" t="s">
        <v>72</v>
      </c>
      <c r="F44" t="s">
        <v>72</v>
      </c>
    </row>
    <row r="45" spans="1:6">
      <c r="A45" t="s">
        <v>99</v>
      </c>
      <c r="B45" s="46">
        <v>91912</v>
      </c>
      <c r="C45" s="46">
        <v>75937</v>
      </c>
      <c r="D45" s="46">
        <v>65326</v>
      </c>
      <c r="E45" s="46">
        <v>58995</v>
      </c>
      <c r="F45" s="46">
        <v>64920</v>
      </c>
    </row>
    <row r="46" spans="1:6">
      <c r="A46" t="s">
        <v>100</v>
      </c>
      <c r="B46" s="46">
        <v>91912</v>
      </c>
      <c r="C46" s="46">
        <v>75937</v>
      </c>
      <c r="D46" s="46">
        <v>65326</v>
      </c>
      <c r="E46" s="46">
        <v>58995</v>
      </c>
      <c r="F46" s="46">
        <v>64920</v>
      </c>
    </row>
    <row r="47" spans="1:6">
      <c r="A47" t="s">
        <v>101</v>
      </c>
      <c r="B47">
        <v>1.28</v>
      </c>
      <c r="C47">
        <v>1.04</v>
      </c>
      <c r="D47">
        <v>0.89</v>
      </c>
      <c r="E47">
        <v>0.79</v>
      </c>
      <c r="F47">
        <v>0.86</v>
      </c>
    </row>
    <row r="48" spans="1:6">
      <c r="A48" t="s">
        <v>102</v>
      </c>
      <c r="B48" s="47">
        <v>0.22889999999999999</v>
      </c>
      <c r="C48" s="47">
        <v>0.1729</v>
      </c>
      <c r="D48" s="47">
        <v>0.125</v>
      </c>
      <c r="E48" s="47">
        <v>-7.8600000000000003E-2</v>
      </c>
      <c r="F48" t="s">
        <v>72</v>
      </c>
    </row>
    <row r="50" spans="1:6">
      <c r="A50" t="s">
        <v>103</v>
      </c>
      <c r="B50" s="46">
        <v>71921.8</v>
      </c>
      <c r="C50" s="46">
        <v>73020.7</v>
      </c>
      <c r="D50" s="46">
        <v>73683.7</v>
      </c>
      <c r="E50" s="46">
        <v>74859.8</v>
      </c>
      <c r="F50" s="46">
        <v>75902.3</v>
      </c>
    </row>
    <row r="51" spans="1:6">
      <c r="A51" t="s">
        <v>104</v>
      </c>
      <c r="B51">
        <v>1.28</v>
      </c>
      <c r="C51">
        <v>1.04</v>
      </c>
      <c r="D51">
        <v>0.89</v>
      </c>
      <c r="E51">
        <v>0.79</v>
      </c>
      <c r="F51">
        <v>0.86</v>
      </c>
    </row>
    <row r="52" spans="1:6">
      <c r="A52" t="s">
        <v>105</v>
      </c>
      <c r="B52" s="47">
        <v>0.22889999999999999</v>
      </c>
      <c r="C52" s="47">
        <v>0.17299999999999999</v>
      </c>
      <c r="D52" s="47">
        <v>0.125</v>
      </c>
      <c r="E52" s="47">
        <v>-7.8600000000000003E-2</v>
      </c>
      <c r="F52" t="s">
        <v>72</v>
      </c>
    </row>
    <row r="54" spans="1:6">
      <c r="A54" t="s">
        <v>106</v>
      </c>
      <c r="B54" s="46">
        <v>71921.8</v>
      </c>
      <c r="C54" s="46">
        <v>73020.7</v>
      </c>
      <c r="D54" s="46">
        <v>73683.7</v>
      </c>
      <c r="E54" s="46">
        <v>74859.8</v>
      </c>
      <c r="F54" s="46">
        <v>75902.3</v>
      </c>
    </row>
    <row r="55" spans="1:6">
      <c r="A55" t="s">
        <v>107</v>
      </c>
      <c r="B55" s="46">
        <v>120656</v>
      </c>
      <c r="C55" s="46">
        <v>128076</v>
      </c>
      <c r="D55" s="46">
        <v>82555</v>
      </c>
      <c r="E55" s="46">
        <v>76675</v>
      </c>
      <c r="F55" s="46">
        <v>88985</v>
      </c>
    </row>
    <row r="56" spans="1:6">
      <c r="A56" t="s">
        <v>108</v>
      </c>
      <c r="B56" s="47">
        <v>-5.79E-2</v>
      </c>
      <c r="C56" s="47">
        <v>0.5514</v>
      </c>
      <c r="D56" s="47">
        <v>7.6700000000000004E-2</v>
      </c>
      <c r="E56" s="47">
        <v>-0.13830000000000001</v>
      </c>
      <c r="F56" t="s">
        <v>72</v>
      </c>
    </row>
    <row r="58" spans="1:6">
      <c r="A58" t="s">
        <v>109</v>
      </c>
      <c r="B58" s="47">
        <v>0.15679999999999999</v>
      </c>
      <c r="C58" t="s">
        <v>72</v>
      </c>
      <c r="D58" t="s">
        <v>72</v>
      </c>
      <c r="E58" t="s">
        <v>72</v>
      </c>
      <c r="F58" t="s">
        <v>72</v>
      </c>
    </row>
    <row r="59" spans="1:6">
      <c r="A59" t="s">
        <v>51</v>
      </c>
      <c r="B59" s="46">
        <v>102413</v>
      </c>
      <c r="C59" s="46">
        <v>110408</v>
      </c>
      <c r="D59" s="46">
        <v>64985</v>
      </c>
      <c r="E59" s="46">
        <v>58491</v>
      </c>
      <c r="F59" s="46">
        <v>70206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Sheet1</vt:lpstr>
      <vt:lpstr>FS, TR (2)</vt:lpstr>
      <vt:lpstr>Sheet4</vt:lpstr>
      <vt:lpstr>Sheet2</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Andrew</dc:creator>
  <cp:lastModifiedBy>Rupa Shrestha</cp:lastModifiedBy>
  <cp:lastPrinted>2017-06-12T21:56:34Z</cp:lastPrinted>
  <dcterms:created xsi:type="dcterms:W3CDTF">2005-01-03T22:00:14Z</dcterms:created>
  <dcterms:modified xsi:type="dcterms:W3CDTF">2024-09-15T05:30:08Z</dcterms:modified>
</cp:coreProperties>
</file>